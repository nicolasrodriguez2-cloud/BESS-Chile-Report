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170"/>
  </bookViews>
  <sheets>
    <sheet name="BESS" sheetId="1" r:id="rId1"/>
    <sheet name="Energy Matrix" sheetId="2" r:id="rId2"/>
    <sheet name="Market Share Estimate" sheetId="3" r:id="rId7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<sst xmlns="http://schemas.openxmlformats.org/spreadsheetml/2006/main" count="130" uniqueCount="44">
  <si>
    <t>E. Abierta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</si>
  <si>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</si>
  <si>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</si>
  <si>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</si>
  <si>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</si>
  <si>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</si>
  <si>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</si>
  <si>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</si>
  <si>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</si>
  <si>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</si>
  <si>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</si>
  <si>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</si>
  <si>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</si>
  <si>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Generadoras</t>
  </si>
  <si>
    <t>Min. Energía</t>
  </si>
  <si>
    <t>ACERA</t>
  </si>
  <si>
    <t>2026 BESS in construction MW</t>
  </si>
  <si>
    <t>2026 BESS in construction MWh</t>
  </si>
  <si>
    <t>2026 BESS in operation MW</t>
  </si>
  <si>
    <t>2026 BESS in operation MWh</t>
  </si>
  <si>
    <t>2026 BESS in test MW</t>
  </si>
  <si>
    <t>2026 BESS in test MWh</t>
  </si>
  <si>
    <t>Month</t>
  </si>
  <si>
    <t>Year</t>
  </si>
  <si>
    <t>Evolución capacidad BESS según fecha estimada de interconexión (Updated August 2026 — E. Abierta, datos al 31-jul-2026)</t>
  </si>
  <si>
    <t>Acumulado</t>
  </si>
  <si>
    <t>Mensual</t>
  </si>
  <si>
    <t>Hydric</t>
  </si>
  <si>
    <t>Natural Gas</t>
  </si>
  <si>
    <t>Coal</t>
  </si>
  <si>
    <t>Diesel</t>
  </si>
  <si>
    <t>Other thermal</t>
  </si>
  <si>
    <t>Eolic</t>
  </si>
  <si>
    <t>Solar (PV +Thermal)</t>
  </si>
  <si>
    <t>Geothermal</t>
  </si>
  <si>
    <t>Total [MW]</t>
  </si>
  <si>
    <t>Solar (PV)</t>
  </si>
  <si>
    <t>Sola (Thermal)</t>
  </si>
  <si>
    <t>Run if the River Hydraulics</t>
  </si>
  <si>
    <t>Reservoir Hydraulics</t>
  </si>
  <si>
    <t>Technology</t>
  </si>
  <si>
    <t>%</t>
  </si>
  <si>
    <t xml:space="preserve">Installed capacity [MW]
</t>
  </si>
  <si>
    <t>Coordinador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</si>
</sst>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rgb="FF000000"/>
      <name val="Arial"/>
    </font>
    <font>
      <b/>
      <sz val="10.5"/>
      <color rgb="FFFFFFFF"/>
      <name val="Arial"/>
    </font>
    <font>
      <sz val="11"/>
      <color rgb="FF000000"/>
      <name val="Arial"/>
    </font>
    <font>
      <b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3B9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/>
    <xf numFmtId="17" fontId="0" fillId="0" borderId="1" xfId="0" applyNumberFormat="1" applyBorder="1"/>
    <xf numFmtId="0" fontId="2" fillId="0" borderId="2" xfId="0" applyFont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  <xf numFmtId="0" fontId="2" fillId="0" borderId="3" xfId="0" applyFont="1" applyFill="1" applyBorder="1" applyAlignment="1">
      <alignment horizontal="center" wrapText="1" readingOrder="1"/>
    </xf>
    <xf numFmtId="0" fontId="0" fillId="0" borderId="0" xfId="0" applyAlignment="1">
      <alignment wrapText="1"/>
    </xf>
    <xf numFmtId="2" fontId="3" fillId="2" borderId="2" xfId="0" applyNumberFormat="1" applyFont="1" applyFill="1" applyBorder="1" applyAlignment="1">
      <alignment horizontal="center" wrapText="1" readingOrder="1"/>
    </xf>
    <xf numFmtId="0" fontId="5" fillId="0" borderId="2" xfId="0" applyFont="1" applyBorder="1" applyAlignment="1">
      <alignment horizontal="center" wrapText="1" readingOrder="1"/>
    </xf>
    <xf numFmtId="164" fontId="2" fillId="0" borderId="2" xfId="1" applyNumberFormat="1" applyFont="1" applyBorder="1" applyAlignment="1">
      <alignment horizontal="center" wrapText="1" readingOrder="1"/>
    </xf>
    <xf numFmtId="164" fontId="4" fillId="0" borderId="2" xfId="1" applyNumberFormat="1" applyFont="1" applyBorder="1" applyAlignment="1">
      <alignment horizontal="center" wrapText="1" readingOrder="1"/>
    </xf>
    <xf numFmtId="0" fontId="2" fillId="0" borderId="2" xfId="1" applyNumberFormat="1" applyFont="1" applyBorder="1" applyAlignment="1">
      <alignment horizont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0" fillId="0" borderId="4" xfId="0" applyFill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7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Evolución capacidad BESS operativo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v>Mensual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6.20224570945206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D32-4296-A025-F69E662D3C90}"/>
                </c:ext>
              </c:extLst>
            </c:dLbl>
            <c:dLbl>
              <c:idx val="3"/>
              <c:layout>
                <c:manualLayout>
                  <c:x val="-5.4584050931345475E-17"/>
                  <c:y val="-0.217078599830822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D32-4296-A025-F69E662D3C90}"/>
                </c:ext>
              </c:extLst>
            </c:dLbl>
            <c:dLbl>
              <c:idx val="4"/>
              <c:layout>
                <c:manualLayout>
                  <c:x val="1.4886731315716273E-3"/>
                  <c:y val="-0.142134797508276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32-4296-A025-F69E662D3C90}"/>
                </c:ext>
              </c:extLst>
            </c:dLbl>
            <c:dLbl>
              <c:idx val="7"/>
              <c:layout>
                <c:manualLayout>
                  <c:x val="-5.4584050931345475E-17"/>
                  <c:y val="-0.31786509260941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D32-4296-A025-F69E662D3C90}"/>
                </c:ext>
              </c:extLst>
            </c:dLbl>
            <c:dLbl>
              <c:idx val="8"/>
              <c:layout>
                <c:manualLayout>
                  <c:x val="0"/>
                  <c:y val="-4.13483047296804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D32-4296-A025-F69E662D3C90}"/>
                </c:ext>
              </c:extLst>
            </c:dLbl>
            <c:dLbl>
              <c:idx val="9"/>
              <c:layout>
                <c:manualLayout>
                  <c:x val="-5.4584050931345475E-17"/>
                  <c:y val="-0.170561757009931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CD32-4296-A025-F69E662D3C90}"/>
                </c:ext>
              </c:extLst>
            </c:dLbl>
            <c:dLbl>
              <c:idx val="10"/>
              <c:layout>
                <c:manualLayout>
                  <c:x val="0"/>
                  <c:y val="-0.144719066553881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CD32-4296-A025-F69E662D3C90}"/>
                </c:ext>
              </c:extLst>
            </c:dLbl>
            <c:dLbl>
              <c:idx val="11"/>
              <c:layout>
                <c:manualLayout>
                  <c:x val="0"/>
                  <c:y val="-0.297190940244577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CD32-4296-A025-F69E662D3C90}"/>
                </c:ext>
              </c:extLst>
            </c:dLbl>
            <c:dLbl>
              <c:idx val="12"/>
              <c:layout>
                <c:manualLayout>
                  <c:x val="0"/>
                  <c:y val="-4.6516842820890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CD32-4296-A025-F69E662D3C90}"/>
                </c:ext>
              </c:extLst>
            </c:dLbl>
            <c:dLbl>
              <c:idx val="13"/>
              <c:layout>
                <c:manualLayout>
                  <c:x val="-1.4886731315716273E-3"/>
                  <c:y val="-8.52808785049658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CD32-4296-A025-F69E662D3C90}"/>
                </c:ext>
              </c:extLst>
            </c:dLbl>
            <c:dLbl>
              <c:idx val="14"/>
              <c:layout>
                <c:manualLayout>
                  <c:x val="-1.4886731315715729E-3"/>
                  <c:y val="-0.273932518834132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D32-4296-A025-F69E662D3C90}"/>
                </c:ext>
              </c:extLst>
            </c:dLbl>
            <c:dLbl>
              <c:idx val="16"/>
              <c:layout>
                <c:manualLayout>
                  <c:x val="0"/>
                  <c:y val="-0.375921648737032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D32-4296-A025-F69E662D3C90}"/>
                </c:ext>
              </c:extLst>
            </c:dLbl>
            <c:dLbl>
              <c:idx val="17"/>
              <c:layout>
                <c:manualLayout>
                  <c:x val="-4.4660193947148822E-3"/>
                  <c:y val="-0.12404491418904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CD32-4296-A025-F69E662D3C90}"/>
                </c:ext>
              </c:extLst>
            </c:dLbl>
            <c:dLbl>
              <c:idx val="18"/>
              <c:layout>
                <c:manualLayout>
                  <c:x val="2.6796116368289293E-2"/>
                  <c:y val="-0.111123568961016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D32-4296-A025-F69E662D3C90}"/>
                </c:ext>
              </c:extLst>
            </c:dLbl>
            <c:dLbl>
              <c:idx val="19"/>
              <c:layout>
                <c:manualLayout>
                  <c:x val="1.4886731315716273E-3"/>
                  <c:y val="-4.39325737752853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CD32-4296-A025-F69E662D3C90}"/>
                </c:ext>
              </c:extLst>
            </c:dLbl>
            <c:dLbl>
              <c:idx val="21"/>
              <c:layout>
                <c:manualLayout>
                  <c:x val="-7.4433656578581373E-3"/>
                  <c:y val="-1.8089883319235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CD32-4296-A025-F69E662D3C90}"/>
                </c:ext>
              </c:extLst>
            </c:dLbl>
            <c:dLbl>
              <c:idx val="32"/>
              <c:layout>
                <c:manualLayout>
                  <c:x val="-1.4886731315716273E-3"/>
                  <c:y val="-7.75280713681507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CD32-4296-A025-F69E662D3C90}"/>
                </c:ext>
              </c:extLst>
            </c:dLbl>
            <c:dLbl>
              <c:idx val="34"/>
              <c:layout>
                <c:manualLayout>
                  <c:x val="0"/>
                  <c:y val="-0.1007864927785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CD32-4296-A025-F69E662D3C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BESS!$D$19:$D$57</c:f>
              <c:numCache>
                <c:formatCode>General</c:formatCode>
                <c:ptCount val="39"/>
                <c:pt idx="0">
                  <c:v>0</c:v>
                </c:pt>
                <c:pt idx="1">
                  <c:v>261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912</c:v>
                </c:pt>
                <c:pt idx="8">
                  <c:v>255</c:v>
                </c:pt>
                <c:pt idx="9">
                  <c:v>1617</c:v>
                </c:pt>
                <c:pt idx="10">
                  <c:v>1400</c:v>
                </c:pt>
                <c:pt idx="11">
                  <c:v>2937</c:v>
                </c:pt>
                <c:pt idx="12">
                  <c:v>107</c:v>
                </c:pt>
                <c:pt idx="13">
                  <c:v>773</c:v>
                </c:pt>
                <c:pt idx="14">
                  <c:v>2697</c:v>
                </c:pt>
                <c:pt idx="15">
                  <c:v>0</c:v>
                </c:pt>
                <c:pt idx="16">
                  <c:v>3785</c:v>
                </c:pt>
                <c:pt idx="17">
                  <c:v>1000</c:v>
                </c:pt>
                <c:pt idx="18">
                  <c:v>1000</c:v>
                </c:pt>
                <c:pt idx="19">
                  <c:v>242</c:v>
                </c:pt>
                <c:pt idx="20">
                  <c:v>25</c:v>
                </c:pt>
                <c:pt idx="21">
                  <c:v>60</c:v>
                </c:pt>
                <c:pt idx="22">
                  <c:v>0</c:v>
                </c:pt>
                <c:pt idx="23">
                  <c:v>1606</c:v>
                </c:pt>
                <c:pt idx="24">
                  <c:v>980</c:v>
                </c:pt>
                <c:pt idx="25">
                  <c:v>36</c:v>
                </c:pt>
                <c:pt idx="26">
                  <c:v>36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  <c:pt idx="30">
                  <c:v>24</c:v>
                </c:pt>
                <c:pt idx="31">
                  <c:v>616</c:v>
                </c:pt>
                <c:pt idx="32">
                  <c:v>0</c:v>
                </c:pt>
                <c:pt idx="33">
                  <c:v>0</c:v>
                </c:pt>
                <c:pt idx="34">
                  <c:v>840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890544"/>
        <c:axId val="76883888"/>
      </c:barChart>
      <c:lineChart>
        <c:grouping val="standard"/>
        <c:varyColors val="0"/>
        <c:ser>
          <c:idx val="0"/>
          <c:order val="0"/>
          <c:tx>
            <c:strRef>
              <c:f>BESS!$C$18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BESS!$A$19:$A$57</c:f>
              <c:numCache>
                <c:formatCode>mmm\-yy</c:formatCode>
                <c:ptCount val="39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  <c:pt idx="12">
                  <c:v>46327</c:v>
                </c:pt>
                <c:pt idx="13">
                  <c:v>46357</c:v>
                </c:pt>
                <c:pt idx="14">
                  <c:v>46388</c:v>
                </c:pt>
                <c:pt idx="15">
                  <c:v>46419</c:v>
                </c:pt>
                <c:pt idx="16">
                  <c:v>46447</c:v>
                </c:pt>
                <c:pt idx="17">
                  <c:v>46478</c:v>
                </c:pt>
                <c:pt idx="18">
                  <c:v>46508</c:v>
                </c:pt>
                <c:pt idx="19">
                  <c:v>46539</c:v>
                </c:pt>
                <c:pt idx="20">
                  <c:v>46569</c:v>
                </c:pt>
                <c:pt idx="21">
                  <c:v>46600</c:v>
                </c:pt>
                <c:pt idx="22">
                  <c:v>46631</c:v>
                </c:pt>
                <c:pt idx="23">
                  <c:v>46661</c:v>
                </c:pt>
                <c:pt idx="24">
                  <c:v>46692</c:v>
                </c:pt>
                <c:pt idx="25">
                  <c:v>46722</c:v>
                </c:pt>
                <c:pt idx="26">
                  <c:v>46753</c:v>
                </c:pt>
                <c:pt idx="27">
                  <c:v>46784</c:v>
                </c:pt>
                <c:pt idx="28">
                  <c:v>46813</c:v>
                </c:pt>
                <c:pt idx="29">
                  <c:v>46844</c:v>
                </c:pt>
                <c:pt idx="30">
                  <c:v>46874</c:v>
                </c:pt>
                <c:pt idx="31">
                  <c:v>46905</c:v>
                </c:pt>
                <c:pt idx="32">
                  <c:v>46935</c:v>
                </c:pt>
                <c:pt idx="33">
                  <c:v>46966</c:v>
                </c:pt>
                <c:pt idx="34">
                  <c:v>46997</c:v>
                </c:pt>
                <c:pt idx="35">
                  <c:v>47027</c:v>
                </c:pt>
                <c:pt idx="36">
                  <c:v>47058</c:v>
                </c:pt>
                <c:pt idx="37">
                  <c:v>47088</c:v>
                </c:pt>
                <c:pt idx="38">
                  <c:v>47150</c:v>
                </c:pt>
              </c:numCache>
            </c:numRef>
          </c:cat>
          <c:val>
            <c:numRef>
              <c:f>BESS!$C$19:$C$57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261</c:v>
                </c:pt>
                <c:pt idx="3">
                  <c:v>261</c:v>
                </c:pt>
                <c:pt idx="4">
                  <c:v>301</c:v>
                </c:pt>
                <c:pt idx="5">
                  <c:v>301</c:v>
                </c:pt>
                <c:pt idx="6">
                  <c:v>301</c:v>
                </c:pt>
                <c:pt idx="7">
                  <c:v>301</c:v>
                </c:pt>
                <c:pt idx="8">
                  <c:v>1213</c:v>
                </c:pt>
                <c:pt idx="9">
                  <c:v>1468</c:v>
                </c:pt>
                <c:pt idx="10">
                  <c:v>3085</c:v>
                </c:pt>
                <c:pt idx="11">
                  <c:v>4485</c:v>
                </c:pt>
                <c:pt idx="12">
                  <c:v>7422</c:v>
                </c:pt>
                <c:pt idx="13">
                  <c:v>7529</c:v>
                </c:pt>
                <c:pt idx="14">
                  <c:v>8302</c:v>
                </c:pt>
                <c:pt idx="15">
                  <c:v>10999</c:v>
                </c:pt>
                <c:pt idx="16">
                  <c:v>10999</c:v>
                </c:pt>
                <c:pt idx="17">
                  <c:v>14784</c:v>
                </c:pt>
                <c:pt idx="18">
                  <c:v>15784</c:v>
                </c:pt>
                <c:pt idx="19">
                  <c:v>16784</c:v>
                </c:pt>
                <c:pt idx="20">
                  <c:v>17026</c:v>
                </c:pt>
                <c:pt idx="21">
                  <c:v>17051</c:v>
                </c:pt>
                <c:pt idx="22">
                  <c:v>17111</c:v>
                </c:pt>
                <c:pt idx="23">
                  <c:v>17111</c:v>
                </c:pt>
                <c:pt idx="24">
                  <c:v>18717</c:v>
                </c:pt>
                <c:pt idx="25">
                  <c:v>19697</c:v>
                </c:pt>
                <c:pt idx="26">
                  <c:v>19733</c:v>
                </c:pt>
                <c:pt idx="27">
                  <c:v>19769</c:v>
                </c:pt>
                <c:pt idx="28">
                  <c:v>19784</c:v>
                </c:pt>
                <c:pt idx="29">
                  <c:v>19784</c:v>
                </c:pt>
                <c:pt idx="30">
                  <c:v>19784</c:v>
                </c:pt>
                <c:pt idx="31">
                  <c:v>19808</c:v>
                </c:pt>
                <c:pt idx="32">
                  <c:v>20424</c:v>
                </c:pt>
                <c:pt idx="33">
                  <c:v>20424</c:v>
                </c:pt>
                <c:pt idx="34">
                  <c:v>20424</c:v>
                </c:pt>
                <c:pt idx="35">
                  <c:v>21264</c:v>
                </c:pt>
                <c:pt idx="36">
                  <c:v>21264</c:v>
                </c:pt>
                <c:pt idx="37">
                  <c:v>21264</c:v>
                </c:pt>
                <c:pt idx="38">
                  <c:v>21264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478848"/>
        <c:axId val="910481760"/>
      </c:lineChart>
      <c:dateAx>
        <c:axId val="91047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81760"/>
        <c:crosses val="autoZero"/>
        <c:auto val="1"/>
        <c:lblOffset val="100"/>
        <c:baseTimeUnit val="months"/>
      </c:dateAx>
      <c:valAx>
        <c:axId val="9104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Acumulada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78848"/>
        <c:crosses val="autoZero"/>
        <c:crossBetween val="between"/>
      </c:valAx>
      <c:valAx>
        <c:axId val="768838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890544"/>
        <c:crosses val="max"/>
        <c:crossBetween val="between"/>
      </c:valAx>
      <c:catAx>
        <c:axId val="76890544"/>
        <c:scaling>
          <c:orientation val="minMax"/>
        </c:scaling>
        <c:delete val="1"/>
        <c:axPos val="b"/>
        <c:majorTickMark val="out"/>
        <c:minorTickMark val="none"/>
        <c:tickLblPos val="nextTo"/>
        <c:crossAx val="76883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Installed capacity </a:t>
            </a:r>
            <a:endParaRPr lang="es-MX"/>
          </a:p>
          <a:p>
            <a:pPr>
              <a:defRPr/>
            </a:pPr>
            <a:r>
              <a:rPr lang="en-US"/>
              <a:t>(JUNE 2026)</a:t>
            </a:r>
            <a:endParaRPr lang="es-MX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31312827275900862"/>
          <c:y val="0.1889986336681081"/>
          <c:w val="0.35798006283697298"/>
          <c:h val="0.6499995774231262"/>
        </c:manualLayout>
      </c:layout>
      <c:pieChart>
        <c:varyColors val="1"/>
        <c:ser>
          <c:idx val="0"/>
          <c:order val="0"/>
          <c:tx>
            <c:strRef>
              <c:f>'Energy Matrix'!$C$16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43-454D-8A1A-053B8B06B9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43-454D-8A1A-053B8B06B9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43-454D-8A1A-053B8B06B9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43-454D-8A1A-053B8B06B9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143-454D-8A1A-053B8B06B9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143-454D-8A1A-053B8B06B9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143-454D-8A1A-053B8B06B9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143-454D-8A1A-053B8B06B9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'Energy Matrix'!$A$17:$A$24</c:f>
              <c:strCache>
                <c:ptCount val="8"/>
                <c:pt idx="0">
                  <c:v>Hydric</c:v>
                </c:pt>
                <c:pt idx="1">
                  <c:v>Natural Gas</c:v>
                </c:pt>
                <c:pt idx="2">
                  <c:v>Coal</c:v>
                </c:pt>
                <c:pt idx="3">
                  <c:v>Diesel</c:v>
                </c:pt>
                <c:pt idx="4">
                  <c:v>Other thermal</c:v>
                </c:pt>
                <c:pt idx="5">
                  <c:v>Eolic</c:v>
                </c:pt>
                <c:pt idx="6">
                  <c:v>Solar (PV +Thermal)</c:v>
                </c:pt>
                <c:pt idx="7">
                  <c:v>Geothermal</c:v>
                </c:pt>
              </c:strCache>
            </c:strRef>
          </c:cat>
          <c:val>
            <c:numRef>
              <c:f>'Energy Matrix'!$C$17:$C$24</c:f>
              <c:numCache>
                <c:formatCode>0.0%</c:formatCode>
                <c:ptCount val="8"/>
                <c:pt idx="0">
                  <c:v>0.18539532646520374</c:v>
                </c:pt>
                <c:pt idx="1">
                  <c:v>0.13213950908742877</c:v>
                </c:pt>
                <c:pt idx="2">
                  <c:v>7.7013688813848818E-2</c:v>
                </c:pt>
                <c:pt idx="3">
                  <c:v>7.5747387640311567E-2</c:v>
                </c:pt>
                <c:pt idx="4">
                  <c:v>2.2297698571239258E-2</c:v>
                </c:pt>
                <c:pt idx="5">
                  <c:v>0.169586194372322</c:v>
                </c:pt>
                <c:pt idx="6">
                  <c:v>0.33549128068203571</c:v>
                </c:pt>
                <c:pt idx="7">
                  <c:v>2.3289143676101759E-3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7-4255-A250-D56AB42288F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5520965051782329E-2"/>
          <c:y val="0.90583184257602867"/>
          <c:w val="0.84139832948231896"/>
          <c:h val="5.2652474602921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425174</xdr:colOff>
      <xdr:row>18</xdr:row>
      <xdr:rowOff>77304</xdr:rowOff>
    </xdr:from>
    <xdr:to>
      <xdr:col>22</xdr:col>
      <xdr:colOff>154607</xdr:colOff>
      <xdr:row>51</xdr:row>
      <xdr:rowOff>44174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1</xdr:row>
      <xdr:rowOff>0</xdr:rowOff>
    </xdr:from>
    <xdr:to>
      <xdr:col>19</xdr:col>
      <xdr:colOff>596900</xdr:colOff>
      <xdr:row>17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57"/>
  <sheetViews>
    <sheetView tabSelected="1" topLeftCell="N1" zoomScale="88" zoomScaleNormal="88" workbookViewId="0">
      <selection activeCell="AH5" sqref="AH5"/>
    </sheetView>
  </sheetViews>
  <sheetFormatPr defaultRowHeight="14.5" x14ac:dyDescent="0.35"/>
  <cols>
    <col min="1" max="1" width="8.90625" bestFit="1" customWidth="1"/>
    <col min="2" max="2" width="21.81640625" bestFit="1" customWidth="1"/>
    <col min="3" max="3" width="11.26953125" bestFit="1" customWidth="1"/>
    <col min="7" max="7" width="9.90625" bestFit="1" customWidth="1"/>
    <col min="26" max="26" width="11.26953125" bestFit="1" customWidth="1"/>
    <col min="29" max="29" width="9.90625" bestFit="1" customWidth="1"/>
    <col min="30" max="30" width="11.6328125" bestFit="1" customWidth="1"/>
    <col min="31" max="31" width="6.36328125" bestFit="1" customWidth="1"/>
  </cols>
  <sheetData>
    <row r="2" spans="2:31" x14ac:dyDescent="0.35">
      <c r="B2" s="15" t="s">
        <v>18</v>
      </c>
      <c r="C2" s="15"/>
      <c r="D2" s="15"/>
      <c r="E2" s="15"/>
      <c r="G2" s="15" t="s">
        <v>19</v>
      </c>
      <c r="H2" s="15"/>
      <c r="I2" s="15"/>
      <c r="J2" s="15"/>
      <c r="L2" s="15" t="s">
        <v>20</v>
      </c>
      <c r="M2" s="15"/>
      <c r="N2" s="15"/>
      <c r="O2" s="15"/>
      <c r="P2" s="15"/>
      <c r="R2" s="15" t="s">
        <v>21</v>
      </c>
      <c r="S2" s="15"/>
      <c r="T2" s="15"/>
      <c r="W2" s="15" t="s">
        <v>16</v>
      </c>
      <c r="X2" s="15"/>
      <c r="Y2" s="15"/>
      <c r="Z2" s="15"/>
      <c r="AA2" s="15"/>
      <c r="AC2" s="15" t="s">
        <v>17</v>
      </c>
      <c r="AD2" s="15"/>
      <c r="AE2" s="15"/>
    </row>
    <row r="3" spans="2:31" x14ac:dyDescent="0.35">
      <c r="B3" s="1"/>
      <c r="C3" s="1" t="s">
        <v>13</v>
      </c>
      <c r="D3" s="1" t="s">
        <v>14</v>
      </c>
      <c r="E3" s="1" t="s">
        <v>15</v>
      </c>
      <c r="G3" s="1"/>
      <c r="H3" s="1" t="s">
        <v>0</v>
      </c>
      <c r="I3" s="1" t="s">
        <v>13</v>
      </c>
      <c r="J3" s="1" t="s">
        <v>15</v>
      </c>
      <c r="L3" s="1"/>
      <c r="M3" s="1" t="s">
        <v>13</v>
      </c>
      <c r="N3" s="1" t="s">
        <v>14</v>
      </c>
      <c r="O3" s="1" t="s">
        <v>43</v>
      </c>
      <c r="P3" s="1" t="s">
        <v>15</v>
      </c>
      <c r="R3" s="1"/>
      <c r="S3" s="1" t="s">
        <v>13</v>
      </c>
      <c r="T3" s="1" t="s">
        <v>15</v>
      </c>
      <c r="W3" s="1"/>
      <c r="X3" s="1" t="s">
        <v>0</v>
      </c>
      <c r="Y3" s="1" t="s">
        <v>13</v>
      </c>
      <c r="Z3" s="1" t="s">
        <v>14</v>
      </c>
      <c r="AA3" s="1" t="s">
        <v>15</v>
      </c>
      <c r="AC3" s="1"/>
      <c r="AD3" s="1" t="s">
        <v>13</v>
      </c>
      <c r="AE3" s="1" t="s">
        <v>15</v>
      </c>
    </row>
    <row r="4" spans="2:31" x14ac:dyDescent="0.35">
      <c r="B4" s="1" t="s">
        <v>1</v>
      </c>
      <c r="C4" s="1">
        <v>2159</v>
      </c>
      <c r="D4" s="1">
        <v>1584</v>
      </c>
      <c r="E4" s="1">
        <v>1575</v>
      </c>
      <c r="G4" s="1" t="s">
        <v>1</v>
      </c>
      <c r="H4" s="1">
        <f>2+50+250+1812+1704+1100</f>
        <v>4918</v>
      </c>
      <c r="I4" s="1">
        <v>8662</v>
      </c>
      <c r="J4" s="1">
        <v>6384</v>
      </c>
      <c r="L4" s="1" t="s">
        <v>1</v>
      </c>
      <c r="M4" s="1">
        <v>1065</v>
      </c>
      <c r="N4" s="1">
        <v>1601</v>
      </c>
      <c r="O4" s="1">
        <f>1914.9*0.2</f>
        <v>382.98</v>
      </c>
      <c r="P4" s="1">
        <v>746</v>
      </c>
      <c r="R4" s="1" t="s">
        <v>1</v>
      </c>
      <c r="S4" s="1">
        <v>4900</v>
      </c>
      <c r="T4" s="1">
        <v>2688</v>
      </c>
      <c r="W4" s="1" t="s">
        <v>1</v>
      </c>
      <c r="X4" s="1">
        <v>7253</v>
      </c>
      <c r="Y4" s="1">
        <v>6731</v>
      </c>
      <c r="Z4" s="1">
        <v>5783</v>
      </c>
      <c r="AA4" s="1">
        <v>7278</v>
      </c>
      <c r="AC4" s="1" t="s">
        <v>1</v>
      </c>
      <c r="AD4" s="1">
        <v>30374</v>
      </c>
      <c r="AE4" s="1">
        <v>32504</v>
      </c>
    </row>
    <row r="5" spans="2:31" x14ac:dyDescent="0.35">
      <c r="B5" s="1" t="s">
        <v>2</v>
      </c>
      <c r="C5" s="1">
        <v>2480</v>
      </c>
      <c r="D5" s="1">
        <v>1700</v>
      </c>
      <c r="E5" s="1">
        <v>1691</v>
      </c>
      <c r="G5" s="1" t="s">
        <v>2</v>
      </c>
      <c r="H5" s="1">
        <f>2+250+900+621+5240</f>
        <v>7013</v>
      </c>
      <c r="I5" s="1">
        <v>8174</v>
      </c>
      <c r="J5" s="1">
        <v>6964</v>
      </c>
      <c r="L5" s="1" t="s">
        <v>2</v>
      </c>
      <c r="M5" s="1">
        <v>988</v>
      </c>
      <c r="N5" s="1">
        <v>1531</v>
      </c>
      <c r="O5" s="1">
        <f>2471.3*0.292</f>
        <v>721.6196</v>
      </c>
      <c r="P5" s="1">
        <v>1486</v>
      </c>
      <c r="R5" s="1" t="s">
        <v>2</v>
      </c>
      <c r="S5" s="1">
        <v>3381</v>
      </c>
      <c r="T5" s="1">
        <v>5972</v>
      </c>
      <c r="W5" s="1" t="s">
        <v>2</v>
      </c>
      <c r="X5" s="1">
        <v>6571</v>
      </c>
      <c r="Y5" s="1">
        <v>6660</v>
      </c>
      <c r="Z5" s="1">
        <v>6179</v>
      </c>
      <c r="AA5" s="1">
        <v>6596</v>
      </c>
      <c r="AC5" s="1" t="s">
        <v>2</v>
      </c>
      <c r="AD5" s="1">
        <v>23327</v>
      </c>
      <c r="AE5" s="1">
        <v>29473</v>
      </c>
    </row>
    <row r="6" spans="2:31" x14ac:dyDescent="0.35">
      <c r="B6" s="1" t="s">
        <v>3</v>
      </c>
      <c r="C6" s="1">
        <v>2529</v>
      </c>
      <c r="D6" s="1">
        <v>2071</v>
      </c>
      <c r="E6" s="1">
        <v>1691</v>
      </c>
      <c r="G6" s="1" t="s">
        <v>3</v>
      </c>
      <c r="H6" s="1">
        <f>2+250+621+5240+55</f>
        <v>6168</v>
      </c>
      <c r="I6" s="1">
        <v>8786</v>
      </c>
      <c r="J6" s="1">
        <v>6964</v>
      </c>
      <c r="L6" s="1" t="s">
        <v>3</v>
      </c>
      <c r="M6" s="1">
        <v>1255</v>
      </c>
      <c r="N6" s="1">
        <v>2119</v>
      </c>
      <c r="O6" s="1">
        <f>2883*0.418</f>
        <v>1205.094</v>
      </c>
      <c r="P6" s="1">
        <v>1832</v>
      </c>
      <c r="R6" s="1" t="s">
        <v>3</v>
      </c>
      <c r="S6" s="1">
        <v>3699</v>
      </c>
      <c r="T6" s="1">
        <v>7102</v>
      </c>
      <c r="W6" s="1" t="s">
        <v>3</v>
      </c>
      <c r="X6" s="1">
        <v>6358</v>
      </c>
      <c r="Y6" s="1">
        <v>6361</v>
      </c>
      <c r="Z6" s="1">
        <v>5646</v>
      </c>
      <c r="AA6" s="1">
        <v>6385</v>
      </c>
      <c r="AC6" s="1" t="s">
        <v>3</v>
      </c>
      <c r="AD6" s="1">
        <v>22479</v>
      </c>
      <c r="AE6" s="1">
        <v>29018</v>
      </c>
    </row>
    <row r="7" spans="2:31" x14ac:dyDescent="0.35">
      <c r="B7" s="1" t="s">
        <v>4</v>
      </c>
      <c r="C7" s="1">
        <v>3293</v>
      </c>
      <c r="D7" s="1">
        <v>2071</v>
      </c>
      <c r="E7" s="1">
        <v>2063</v>
      </c>
      <c r="G7" s="1" t="s">
        <v>4</v>
      </c>
      <c r="H7" s="1"/>
      <c r="I7" s="1">
        <v>13174</v>
      </c>
      <c r="J7" s="1">
        <v>8477</v>
      </c>
      <c r="L7" s="1" t="s">
        <v>4</v>
      </c>
      <c r="M7" s="1">
        <v>1301</v>
      </c>
      <c r="N7" s="1">
        <v>2225</v>
      </c>
      <c r="O7" s="1">
        <f>2720.4*0.444</f>
        <v>1207.8576</v>
      </c>
      <c r="P7" s="1">
        <v>2124</v>
      </c>
      <c r="R7" s="1" t="s">
        <v>4</v>
      </c>
      <c r="S7" s="1">
        <v>4163</v>
      </c>
      <c r="T7" s="1">
        <v>9730</v>
      </c>
      <c r="W7" s="1" t="s">
        <v>4</v>
      </c>
      <c r="Y7" s="1">
        <v>5684</v>
      </c>
      <c r="Z7" s="1">
        <v>5799</v>
      </c>
      <c r="AA7" s="1">
        <v>5977</v>
      </c>
      <c r="AC7" s="1" t="s">
        <v>4</v>
      </c>
      <c r="AD7" s="1">
        <v>24929</v>
      </c>
      <c r="AE7" s="1">
        <v>25896</v>
      </c>
    </row>
    <row r="8" spans="2:31" x14ac:dyDescent="0.35">
      <c r="B8" s="1" t="s">
        <v>5</v>
      </c>
      <c r="C8" s="1">
        <v>3293</v>
      </c>
      <c r="D8" s="1">
        <v>2071</v>
      </c>
      <c r="E8" s="1">
        <v>2063</v>
      </c>
      <c r="G8" s="1" t="s">
        <v>5</v>
      </c>
      <c r="H8" s="1">
        <v>3898</v>
      </c>
      <c r="I8" s="1">
        <v>15271</v>
      </c>
      <c r="J8" s="1">
        <v>8777</v>
      </c>
      <c r="L8" s="1" t="s">
        <v>5</v>
      </c>
      <c r="M8" s="1">
        <v>1709</v>
      </c>
      <c r="N8" s="1">
        <v>2524</v>
      </c>
      <c r="O8" s="1">
        <f>3031.8*0.553</f>
        <v>1676.5854000000002</v>
      </c>
      <c r="P8" s="1">
        <v>2425</v>
      </c>
      <c r="R8" s="1" t="s">
        <v>5</v>
      </c>
      <c r="S8" s="1">
        <v>7297</v>
      </c>
      <c r="T8" s="1">
        <v>11275</v>
      </c>
      <c r="W8" s="1" t="s">
        <v>5</v>
      </c>
      <c r="X8" s="1">
        <v>5728</v>
      </c>
      <c r="Y8" s="1">
        <v>5554</v>
      </c>
      <c r="Z8" s="1">
        <v>5639</v>
      </c>
      <c r="AA8" s="1">
        <v>5746</v>
      </c>
      <c r="AC8" s="1" t="s">
        <v>5</v>
      </c>
      <c r="AD8" s="1">
        <v>24061</v>
      </c>
      <c r="AE8" s="1">
        <v>24638</v>
      </c>
    </row>
    <row r="9" spans="2:31" x14ac:dyDescent="0.35">
      <c r="B9" s="1" t="s">
        <v>6</v>
      </c>
      <c r="C9" s="1"/>
      <c r="D9" s="1">
        <v>2291</v>
      </c>
      <c r="E9" s="1">
        <v>2318</v>
      </c>
      <c r="G9" s="1" t="s">
        <v>6</v>
      </c>
      <c r="H9" s="1"/>
      <c r="I9" s="1"/>
      <c r="J9" s="1">
        <v>10057</v>
      </c>
      <c r="L9" s="1" t="s">
        <v>6</v>
      </c>
      <c r="M9" s="1"/>
      <c r="N9" s="1">
        <v>2760</v>
      </c>
      <c r="O9" s="1">
        <f>3176.9*0.489</f>
        <v>1553.5041</v>
      </c>
      <c r="P9" s="1">
        <v>2958</v>
      </c>
      <c r="R9" s="1" t="s">
        <v>6</v>
      </c>
      <c r="S9" s="1"/>
      <c r="T9" s="1">
        <v>13593</v>
      </c>
      <c r="W9" s="1" t="s">
        <v>6</v>
      </c>
      <c r="X9" s="14">
        <v>5219</v>
      </c>
      <c r="Y9" s="1"/>
      <c r="Z9" s="1">
        <f>+(4705+505)</f>
        <v>5210</v>
      </c>
      <c r="AA9" s="1">
        <v>4987</v>
      </c>
      <c r="AC9" s="1" t="s">
        <v>6</v>
      </c>
      <c r="AD9" s="1"/>
      <c r="AE9" s="1">
        <v>21175</v>
      </c>
    </row>
    <row r="10" spans="2:31" x14ac:dyDescent="0.35">
      <c r="B10" s="1" t="s">
        <v>7</v>
      </c>
      <c r="C10" s="1"/>
      <c r="D10" s="1">
        <v>2625</v>
      </c>
      <c r="E10" s="1">
        <v>2655</v>
      </c>
      <c r="G10" s="1" t="s">
        <v>7</v>
      </c>
      <c r="H10" s="1"/>
      <c r="I10" s="1"/>
      <c r="J10" s="1">
        <v>11250</v>
      </c>
      <c r="L10" s="1" t="s">
        <v>7</v>
      </c>
      <c r="M10" s="1"/>
      <c r="N10" s="1">
        <v>3183</v>
      </c>
      <c r="O10" s="1">
        <f>2357.2*0.56</f>
        <v>1320.032</v>
      </c>
      <c r="P10" s="1">
        <v>3151</v>
      </c>
      <c r="R10" s="1" t="s">
        <v>7</v>
      </c>
      <c r="S10" s="1"/>
      <c r="T10" s="1">
        <v>14698</v>
      </c>
      <c r="W10" s="1" t="s">
        <v>7</v>
      </c>
      <c r="X10" s="1">
        <v>4972</v>
      </c>
      <c r="Y10" s="1"/>
      <c r="Z10" s="1">
        <f>+(4268+705)</f>
        <v>4973.0</v>
      </c>
      <c r="AA10" s="1">
        <v>5040</v>
      </c>
      <c r="AC10" s="1" t="s">
        <v>7</v>
      </c>
      <c r="AD10" s="1"/>
      <c r="AE10" s="1">
        <v>21721</v>
      </c>
    </row>
    <row r="11" spans="2:31" x14ac:dyDescent="0.35">
      <c r="B11" s="1" t="s">
        <v>8</v>
      </c>
      <c r="C11" s="1"/>
      <c r="D11" s="1">
        <v>3123</v>
      </c>
      <c r="E11" s="1">
        <v>3116</v>
      </c>
      <c r="G11" s="1" t="s">
        <v>8</v>
      </c>
      <c r="H11" s="1"/>
      <c r="I11" s="1"/>
      <c r="J11" s="1">
        <v>13522</v>
      </c>
      <c r="L11" s="1" t="s">
        <v>8</v>
      </c>
      <c r="M11" s="1"/>
      <c r="N11" s="1">
        <v>2686</v>
      </c>
      <c r="O11" s="1"/>
      <c r="P11" s="1">
        <v>2686</v>
      </c>
      <c r="R11" s="1" t="s">
        <v>8</v>
      </c>
      <c r="S11" s="1"/>
      <c r="T11" s="1">
        <v>12408</v>
      </c>
      <c r="W11" s="1" t="s">
        <v>8</v>
      </c>
      <c r="X11" s="1"/>
      <c r="Y11" s="1"/>
      <c r="Z11" s="1"/>
      <c r="AA11" s="1">
        <v>5217</v>
      </c>
      <c r="AC11" s="1" t="s">
        <v>8</v>
      </c>
      <c r="AD11" s="1"/>
      <c r="AE11" s="1">
        <v>22330</v>
      </c>
    </row>
    <row r="12" spans="2:31" x14ac:dyDescent="0.35">
      <c r="B12" s="1" t="s">
        <v>9</v>
      </c>
      <c r="C12" s="1"/>
      <c r="D12" s="1"/>
      <c r="E12" s="1"/>
      <c r="G12" s="1" t="s">
        <v>9</v>
      </c>
      <c r="H12" s="1"/>
      <c r="I12" s="1"/>
      <c r="J12" s="1"/>
      <c r="L12" s="1" t="s">
        <v>9</v>
      </c>
      <c r="M12" s="1"/>
      <c r="N12" s="1"/>
      <c r="O12" s="1"/>
      <c r="P12" s="1"/>
      <c r="R12" s="1" t="s">
        <v>9</v>
      </c>
      <c r="S12" s="1"/>
      <c r="T12" s="1"/>
      <c r="W12" s="1" t="s">
        <v>9</v>
      </c>
      <c r="X12" s="1"/>
      <c r="Y12" s="1"/>
      <c r="Z12" s="1"/>
      <c r="AA12" s="1"/>
      <c r="AC12" s="1" t="s">
        <v>9</v>
      </c>
      <c r="AD12" s="1"/>
      <c r="AE12" s="1"/>
    </row>
    <row r="13" spans="2:31" x14ac:dyDescent="0.35">
      <c r="B13" s="1" t="s">
        <v>10</v>
      </c>
      <c r="C13" s="1"/>
      <c r="D13" s="1"/>
      <c r="E13" s="1"/>
      <c r="G13" s="1" t="s">
        <v>10</v>
      </c>
      <c r="H13" s="1"/>
      <c r="I13" s="1"/>
      <c r="J13" s="1"/>
      <c r="L13" s="1" t="s">
        <v>10</v>
      </c>
      <c r="M13" s="1"/>
      <c r="N13" s="1"/>
      <c r="O13" s="1"/>
      <c r="P13" s="1"/>
      <c r="R13" s="1" t="s">
        <v>10</v>
      </c>
      <c r="S13" s="1"/>
      <c r="T13" s="1"/>
      <c r="W13" s="1" t="s">
        <v>10</v>
      </c>
      <c r="X13" s="1"/>
      <c r="Y13" s="1"/>
      <c r="Z13" s="1"/>
      <c r="AA13" s="1"/>
      <c r="AC13" s="1" t="s">
        <v>10</v>
      </c>
      <c r="AD13" s="1"/>
      <c r="AE13" s="1"/>
    </row>
    <row r="14" spans="2:31" x14ac:dyDescent="0.35">
      <c r="B14" s="1" t="s">
        <v>11</v>
      </c>
      <c r="C14" s="1"/>
      <c r="D14" s="1"/>
      <c r="E14" s="1"/>
      <c r="G14" s="1" t="s">
        <v>11</v>
      </c>
      <c r="H14" s="1"/>
      <c r="I14" s="1"/>
      <c r="J14" s="1"/>
      <c r="L14" s="1" t="s">
        <v>11</v>
      </c>
      <c r="M14" s="1"/>
      <c r="N14" s="1"/>
      <c r="O14" s="1"/>
      <c r="P14" s="1"/>
      <c r="R14" s="1" t="s">
        <v>11</v>
      </c>
      <c r="S14" s="1"/>
      <c r="T14" s="1"/>
      <c r="W14" s="1" t="s">
        <v>11</v>
      </c>
      <c r="X14" s="1"/>
      <c r="Y14" s="1"/>
      <c r="Z14" s="1"/>
      <c r="AA14" s="1"/>
      <c r="AC14" s="1" t="s">
        <v>11</v>
      </c>
      <c r="AD14" s="1"/>
      <c r="AE14" s="1"/>
    </row>
    <row r="15" spans="2:31" x14ac:dyDescent="0.35">
      <c r="B15" s="1" t="s">
        <v>12</v>
      </c>
      <c r="C15" s="1"/>
      <c r="D15" s="1"/>
      <c r="E15" s="1"/>
      <c r="G15" s="1" t="s">
        <v>12</v>
      </c>
      <c r="H15" s="1"/>
      <c r="I15" s="1"/>
      <c r="J15" s="1"/>
      <c r="L15" s="1" t="s">
        <v>12</v>
      </c>
      <c r="M15" s="1"/>
      <c r="N15" s="1"/>
      <c r="O15" s="1"/>
      <c r="P15" s="1"/>
      <c r="R15" s="1" t="s">
        <v>12</v>
      </c>
      <c r="S15" s="1"/>
      <c r="T15" s="1"/>
      <c r="W15" s="1" t="s">
        <v>12</v>
      </c>
      <c r="X15" s="1"/>
      <c r="Y15" s="1"/>
      <c r="Z15" s="1"/>
      <c r="AA15" s="1"/>
      <c r="AC15" s="1" t="s">
        <v>12</v>
      </c>
      <c r="AD15" s="1"/>
      <c r="AE15" s="1"/>
    </row>
    <row r="17" spans="1:4" x14ac:dyDescent="0.35">
      <c r="A17" s="2" t="s">
        <v>24</v>
      </c>
      <c r="B17" s="2"/>
      <c r="C17" s="2"/>
      <c r="D17" s="1"/>
    </row>
    <row r="18" spans="1:4" x14ac:dyDescent="0.35">
      <c r="A18" s="1" t="s">
        <v>22</v>
      </c>
      <c r="B18" s="1" t="s">
        <v>23</v>
      </c>
      <c r="C18" s="1" t="s">
        <v>25</v>
      </c>
      <c r="D18" s="1" t="s">
        <v>26</v>
      </c>
    </row>
    <row r="19" spans="1:4" x14ac:dyDescent="0.35">
      <c r="A19" s="3">
        <v>45962</v>
      </c>
      <c r="B19" s="1">
        <v>2025</v>
      </c>
      <c r="C19" s="1">
        <v>0</v>
      </c>
      <c r="D19" s="1">
        <v>0</v>
      </c>
    </row>
    <row r="20" spans="1:4" x14ac:dyDescent="0.35">
      <c r="A20" s="3">
        <v>45992</v>
      </c>
      <c r="B20" s="1">
        <v>2025</v>
      </c>
      <c r="C20" s="1">
        <f t="shared" ref="C20:C21" si="0">+C19+D19</f>
        <v>0</v>
      </c>
      <c r="D20" s="1">
        <v>261</v>
      </c>
    </row>
    <row r="21" spans="1:4" x14ac:dyDescent="0.35">
      <c r="A21" s="3">
        <v>46023</v>
      </c>
      <c r="B21" s="1">
        <v>2026</v>
      </c>
      <c r="C21" s="1">
        <f t="shared" si="0"/>
        <v>261</v>
      </c>
      <c r="D21" s="1">
        <v>0</v>
      </c>
    </row>
    <row r="22" spans="1:4" x14ac:dyDescent="0.35">
      <c r="A22" s="3">
        <v>46054</v>
      </c>
      <c r="B22" s="1">
        <v>2026</v>
      </c>
      <c r="C22" s="1">
        <f>+C21+D21</f>
        <v>261</v>
      </c>
      <c r="D22" s="1">
        <v>40</v>
      </c>
    </row>
    <row r="23" spans="1:4" x14ac:dyDescent="0.35">
      <c r="A23" s="3">
        <v>46082</v>
      </c>
      <c r="B23" s="1">
        <v>2026</v>
      </c>
      <c r="C23" s="1">
        <f t="shared" ref="C23:C57" si="1">+C22+D22</f>
        <v>301</v>
      </c>
      <c r="D23" s="1">
        <v>0</v>
      </c>
    </row>
    <row r="24" spans="1:4" x14ac:dyDescent="0.35">
      <c r="A24" s="3">
        <v>46113</v>
      </c>
      <c r="B24" s="1">
        <v>2026</v>
      </c>
      <c r="C24" s="1">
        <f t="shared" si="1"/>
        <v>301</v>
      </c>
      <c r="D24" s="1">
        <v>0</v>
      </c>
    </row>
    <row r="25" spans="1:4" x14ac:dyDescent="0.35">
      <c r="A25" s="3">
        <v>46143</v>
      </c>
      <c r="B25" s="1">
        <v>2026</v>
      </c>
      <c r="C25" s="1">
        <f t="shared" si="1"/>
        <v>301</v>
      </c>
      <c r="D25" s="1">
        <v>0</v>
      </c>
    </row>
    <row r="26" spans="1:4" x14ac:dyDescent="0.35">
      <c r="A26" s="3">
        <v>46174</v>
      </c>
      <c r="B26" s="1">
        <v>2026</v>
      </c>
      <c r="C26" s="1">
        <f t="shared" si="1"/>
        <v>301</v>
      </c>
      <c r="D26" s="1">
        <v>912</v>
      </c>
    </row>
    <row r="27" spans="1:4" x14ac:dyDescent="0.35">
      <c r="A27" s="3">
        <v>46204</v>
      </c>
      <c r="B27" s="1">
        <v>2026</v>
      </c>
      <c r="C27" s="1">
        <f t="shared" si="1"/>
        <v>1213</v>
      </c>
      <c r="D27" s="1">
        <v>255</v>
      </c>
    </row>
    <row r="28" spans="1:4" x14ac:dyDescent="0.35">
      <c r="A28" s="3">
        <v>46235</v>
      </c>
      <c r="B28" s="1">
        <v>2026</v>
      </c>
      <c r="C28" s="1">
        <f t="shared" si="1"/>
        <v>1468</v>
      </c>
      <c r="D28" s="1">
        <v>1617</v>
      </c>
    </row>
    <row r="29" spans="1:4" x14ac:dyDescent="0.35">
      <c r="A29" s="3">
        <v>46266</v>
      </c>
      <c r="B29" s="1">
        <v>2026</v>
      </c>
      <c r="C29" s="1">
        <f t="shared" si="1"/>
        <v>3085</v>
      </c>
      <c r="D29" s="1">
        <v>1400</v>
      </c>
    </row>
    <row r="30" spans="1:4" x14ac:dyDescent="0.35">
      <c r="A30" s="3">
        <v>46296</v>
      </c>
      <c r="B30" s="1">
        <v>2026</v>
      </c>
      <c r="C30" s="1">
        <f t="shared" si="1"/>
        <v>4485</v>
      </c>
      <c r="D30" s="1">
        <v>2937</v>
      </c>
    </row>
    <row r="31" spans="1:4" x14ac:dyDescent="0.35">
      <c r="A31" s="3">
        <v>46327</v>
      </c>
      <c r="B31" s="1">
        <v>2026</v>
      </c>
      <c r="C31" s="1">
        <f t="shared" si="1"/>
        <v>7422</v>
      </c>
      <c r="D31" s="1">
        <v>107</v>
      </c>
    </row>
    <row r="32" spans="1:4" x14ac:dyDescent="0.35">
      <c r="A32" s="3">
        <v>46357</v>
      </c>
      <c r="B32" s="1">
        <v>2026</v>
      </c>
      <c r="C32" s="1">
        <f t="shared" si="1"/>
        <v>7529</v>
      </c>
      <c r="D32" s="1">
        <v>773</v>
      </c>
    </row>
    <row r="33" spans="1:4" x14ac:dyDescent="0.35">
      <c r="A33" s="3">
        <v>46388</v>
      </c>
      <c r="B33" s="1">
        <v>2027</v>
      </c>
      <c r="C33" s="1">
        <f t="shared" si="1"/>
        <v>8302</v>
      </c>
      <c r="D33" s="1">
        <v>2697</v>
      </c>
    </row>
    <row r="34" spans="1:4" x14ac:dyDescent="0.35">
      <c r="A34" s="3">
        <v>46419</v>
      </c>
      <c r="B34" s="1">
        <v>2027</v>
      </c>
      <c r="C34" s="1">
        <f t="shared" si="1"/>
        <v>10999</v>
      </c>
      <c r="D34" s="1">
        <v>0</v>
      </c>
    </row>
    <row r="35" spans="1:4" x14ac:dyDescent="0.35">
      <c r="A35" s="3">
        <v>46447</v>
      </c>
      <c r="B35" s="1">
        <v>2027</v>
      </c>
      <c r="C35" s="1">
        <f t="shared" si="1"/>
        <v>10999</v>
      </c>
      <c r="D35" s="1">
        <v>3785</v>
      </c>
    </row>
    <row r="36" spans="1:4" x14ac:dyDescent="0.35">
      <c r="A36" s="3">
        <v>46478</v>
      </c>
      <c r="B36" s="1">
        <v>2027</v>
      </c>
      <c r="C36" s="1">
        <f t="shared" si="1"/>
        <v>14784</v>
      </c>
      <c r="D36" s="1">
        <v>1000</v>
      </c>
    </row>
    <row r="37" spans="1:4" x14ac:dyDescent="0.35">
      <c r="A37" s="3">
        <v>46508</v>
      </c>
      <c r="B37" s="1">
        <v>2027</v>
      </c>
      <c r="C37" s="1">
        <f t="shared" si="1"/>
        <v>15784</v>
      </c>
      <c r="D37" s="1">
        <v>1000</v>
      </c>
    </row>
    <row r="38" spans="1:4" x14ac:dyDescent="0.35">
      <c r="A38" s="3">
        <v>46539</v>
      </c>
      <c r="B38" s="1">
        <v>2027</v>
      </c>
      <c r="C38" s="1">
        <f t="shared" si="1"/>
        <v>16784</v>
      </c>
      <c r="D38" s="1">
        <v>242</v>
      </c>
    </row>
    <row r="39" spans="1:4" x14ac:dyDescent="0.35">
      <c r="A39" s="3">
        <v>46569</v>
      </c>
      <c r="B39" s="1">
        <v>2027</v>
      </c>
      <c r="C39" s="1">
        <f t="shared" si="1"/>
        <v>17026</v>
      </c>
      <c r="D39" s="1">
        <v>25</v>
      </c>
    </row>
    <row r="40" spans="1:4" x14ac:dyDescent="0.35">
      <c r="A40" s="3">
        <v>46600</v>
      </c>
      <c r="B40" s="1">
        <v>2027</v>
      </c>
      <c r="C40" s="1">
        <f t="shared" si="1"/>
        <v>17051</v>
      </c>
      <c r="D40" s="1">
        <v>60</v>
      </c>
    </row>
    <row r="41" spans="1:4" x14ac:dyDescent="0.35">
      <c r="A41" s="3">
        <v>46631</v>
      </c>
      <c r="B41" s="1">
        <v>2027</v>
      </c>
      <c r="C41" s="1">
        <f t="shared" si="1"/>
        <v>17111</v>
      </c>
      <c r="D41" s="1">
        <v>0</v>
      </c>
    </row>
    <row r="42" spans="1:4" x14ac:dyDescent="0.35">
      <c r="A42" s="3">
        <v>46661</v>
      </c>
      <c r="B42" s="1">
        <v>2027</v>
      </c>
      <c r="C42" s="1">
        <f t="shared" si="1"/>
        <v>17111</v>
      </c>
      <c r="D42" s="1">
        <v>1606</v>
      </c>
    </row>
    <row r="43" spans="1:4" x14ac:dyDescent="0.35">
      <c r="A43" s="3">
        <v>46692</v>
      </c>
      <c r="B43" s="1">
        <v>2027</v>
      </c>
      <c r="C43" s="1">
        <f t="shared" si="1"/>
        <v>18717</v>
      </c>
      <c r="D43" s="1">
        <v>980</v>
      </c>
    </row>
    <row r="44" spans="1:4" x14ac:dyDescent="0.35">
      <c r="A44" s="3">
        <v>46722</v>
      </c>
      <c r="B44" s="1">
        <v>2027</v>
      </c>
      <c r="C44" s="1">
        <f t="shared" si="1"/>
        <v>19697</v>
      </c>
      <c r="D44" s="1">
        <v>36</v>
      </c>
    </row>
    <row r="45" spans="1:4" x14ac:dyDescent="0.35">
      <c r="A45" s="3">
        <v>46753</v>
      </c>
      <c r="B45" s="1">
        <v>2028</v>
      </c>
      <c r="C45" s="1">
        <f t="shared" si="1"/>
        <v>19733</v>
      </c>
      <c r="D45" s="1">
        <v>36</v>
      </c>
    </row>
    <row r="46" spans="1:4" x14ac:dyDescent="0.35">
      <c r="A46" s="3">
        <v>46784</v>
      </c>
      <c r="B46" s="1">
        <v>2028</v>
      </c>
      <c r="C46" s="1">
        <f t="shared" si="1"/>
        <v>19769</v>
      </c>
      <c r="D46" s="1">
        <v>15</v>
      </c>
    </row>
    <row r="47" spans="1:4" x14ac:dyDescent="0.35">
      <c r="A47" s="3">
        <v>46813</v>
      </c>
      <c r="B47" s="1">
        <v>2028</v>
      </c>
      <c r="C47" s="1">
        <f t="shared" si="1"/>
        <v>19784</v>
      </c>
      <c r="D47" s="1">
        <v>0</v>
      </c>
    </row>
    <row r="48" spans="1:4" x14ac:dyDescent="0.35">
      <c r="A48" s="3">
        <v>46844</v>
      </c>
      <c r="B48" s="1">
        <v>2028</v>
      </c>
      <c r="C48" s="1">
        <f t="shared" si="1"/>
        <v>19784</v>
      </c>
      <c r="D48" s="1">
        <v>0</v>
      </c>
    </row>
    <row r="49" spans="1:4" x14ac:dyDescent="0.35">
      <c r="A49" s="3">
        <v>46874</v>
      </c>
      <c r="B49" s="1">
        <v>2028</v>
      </c>
      <c r="C49" s="1">
        <f t="shared" si="1"/>
        <v>19784</v>
      </c>
      <c r="D49" s="1">
        <v>24</v>
      </c>
    </row>
    <row r="50" spans="1:4" x14ac:dyDescent="0.35">
      <c r="A50" s="3">
        <v>46905</v>
      </c>
      <c r="B50" s="1">
        <v>2028</v>
      </c>
      <c r="C50" s="1">
        <f t="shared" si="1"/>
        <v>19808</v>
      </c>
      <c r="D50" s="1">
        <v>616</v>
      </c>
    </row>
    <row r="51" spans="1:4" x14ac:dyDescent="0.35">
      <c r="A51" s="3">
        <v>46935</v>
      </c>
      <c r="B51" s="1">
        <v>2028</v>
      </c>
      <c r="C51" s="1">
        <f t="shared" si="1"/>
        <v>20424</v>
      </c>
      <c r="D51" s="1">
        <v>0</v>
      </c>
    </row>
    <row r="52" spans="1:4" x14ac:dyDescent="0.35">
      <c r="A52" s="3">
        <v>46966</v>
      </c>
      <c r="B52" s="1">
        <v>2028</v>
      </c>
      <c r="C52" s="1">
        <f t="shared" si="1"/>
        <v>20424</v>
      </c>
      <c r="D52" s="1">
        <v>0</v>
      </c>
    </row>
    <row r="53" spans="1:4" x14ac:dyDescent="0.35">
      <c r="A53" s="3">
        <v>46997</v>
      </c>
      <c r="B53" s="1">
        <v>2028</v>
      </c>
      <c r="C53" s="1">
        <f t="shared" si="1"/>
        <v>20424</v>
      </c>
      <c r="D53" s="1">
        <v>840</v>
      </c>
    </row>
    <row r="54" spans="1:4" x14ac:dyDescent="0.35">
      <c r="A54" s="3">
        <v>47027</v>
      </c>
      <c r="B54" s="1">
        <v>2028</v>
      </c>
      <c r="C54" s="1">
        <f t="shared" si="1"/>
        <v>21264</v>
      </c>
      <c r="D54" s="1">
        <v>0</v>
      </c>
    </row>
    <row r="55" spans="1:4" x14ac:dyDescent="0.35">
      <c r="A55" s="3">
        <v>47058</v>
      </c>
      <c r="B55" s="1">
        <v>2028</v>
      </c>
      <c r="C55" s="1">
        <f t="shared" si="1"/>
        <v>21264</v>
      </c>
      <c r="D55" s="1">
        <v>0</v>
      </c>
    </row>
    <row r="56" spans="1:4" x14ac:dyDescent="0.35">
      <c r="A56" s="3">
        <v>47088</v>
      </c>
      <c r="B56" s="1">
        <v>2028</v>
      </c>
      <c r="C56" s="1">
        <f t="shared" si="1"/>
        <v>21264</v>
      </c>
      <c r="D56" s="1">
        <v>0</v>
      </c>
    </row>
    <row r="57" spans="1:4" x14ac:dyDescent="0.35">
      <c r="A57" s="3">
        <v>47150</v>
      </c>
      <c r="B57" s="1">
        <v>2029</v>
      </c>
      <c r="C57" s="1">
        <f t="shared" si="1"/>
        <v>21264</v>
      </c>
      <c r="D57" s="1">
        <v>162</v>
      </c>
    </row>
  </sheetData>
  <mergeCells count="6">
    <mergeCell ref="AC2:AE2"/>
    <mergeCell ref="G2:J2"/>
    <mergeCell ref="B2:E2"/>
    <mergeCell ref="L2:P2"/>
    <mergeCell ref="R2:T2"/>
    <mergeCell ref="W2:AA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16" sqref="D16"/>
    </sheetView>
  </sheetViews>
  <sheetFormatPr defaultRowHeight="14.5" x14ac:dyDescent="0.35"/>
  <cols>
    <col min="1" max="1" width="14.36328125" customWidth="1"/>
    <col min="2" max="2" width="17.7265625" customWidth="1"/>
    <col min="5" max="5" width="9" bestFit="1" customWidth="1"/>
    <col min="6" max="6" width="9.08984375" bestFit="1" customWidth="1"/>
    <col min="7" max="7" width="9" bestFit="1" customWidth="1"/>
    <col min="8" max="8" width="9" bestFit="1" customWidth="1"/>
  </cols>
  <sheetData>
    <row r="1" spans="1:7" ht="15" thickBot="1" x14ac:dyDescent="0.4"/>
    <row r="2" spans="1:8" ht="15" thickBot="1" x14ac:dyDescent="0.4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ht="28" thickBot="1" x14ac:dyDescent="0.4">
      <c r="A3" s="4" t="s">
        <v>39</v>
      </c>
      <c r="B3" s="4">
        <v>3514.7</v>
      </c>
      <c r="C3" s="4">
        <v>4184.7</v>
      </c>
      <c r="D3" s="4">
        <v>4184.7</v>
      </c>
      <c r="E3" s="4">
        <v>4184.7</v>
      </c>
      <c r="F3" s="4">
        <v>4184.7</v>
      </c>
      <c r="G3" s="4">
        <v>4167.7</v>
      </c>
      <c r="H3" s="4">
        <v>4167.7</v>
      </c>
    </row>
    <row r="4" spans="1:8" ht="31.5" customHeight="1" thickBot="1" x14ac:dyDescent="0.4">
      <c r="A4" s="7" t="s">
        <v>38</v>
      </c>
      <c r="B4" s="4">
        <v>4034.9</v>
      </c>
      <c r="C4" s="4">
        <v>3368</v>
      </c>
      <c r="D4" s="4">
        <v>3368</v>
      </c>
      <c r="E4" s="4">
        <v>3368</v>
      </c>
      <c r="F4" s="4">
        <v>3369.9</v>
      </c>
      <c r="G4" s="4">
        <v>3386.9</v>
      </c>
      <c r="H4" s="4">
        <v>3388.5</v>
      </c>
    </row>
    <row r="5" spans="1:8" ht="15" thickBot="1" x14ac:dyDescent="0.4">
      <c r="A5" s="4" t="s">
        <v>28</v>
      </c>
      <c r="B5" s="4">
        <v>5643.1</v>
      </c>
      <c r="C5" s="4">
        <v>5300</v>
      </c>
      <c r="D5" s="4">
        <v>5384.5</v>
      </c>
      <c r="E5" s="4">
        <v>5384.5</v>
      </c>
      <c r="F5" s="4">
        <v>5384.5</v>
      </c>
      <c r="G5" s="4">
        <v>5384.5</v>
      </c>
      <c r="H5" s="4">
        <v>4859.72</v>
      </c>
    </row>
    <row r="6" spans="1:8" ht="15" thickBot="1" x14ac:dyDescent="0.4">
      <c r="A6" s="4" t="s">
        <v>29</v>
      </c>
      <c r="B6" s="4">
        <v>2804.3</v>
      </c>
      <c r="C6" s="4">
        <v>3181.2</v>
      </c>
      <c r="D6" s="4">
        <v>3138.2</v>
      </c>
      <c r="E6" s="4">
        <v>3138.2</v>
      </c>
      <c r="F6" s="4">
        <v>3138.2</v>
      </c>
      <c r="G6" s="4">
        <v>3138.2</v>
      </c>
      <c r="H6" s="4">
        <v>3138.25</v>
      </c>
    </row>
    <row r="7" spans="1:8" ht="15" thickBot="1" x14ac:dyDescent="0.4">
      <c r="A7" s="4" t="s">
        <v>30</v>
      </c>
      <c r="B7" s="4">
        <v>3096.2</v>
      </c>
      <c r="C7" s="4">
        <v>3053.8</v>
      </c>
      <c r="D7" s="4">
        <v>3075.4</v>
      </c>
      <c r="E7" s="4">
        <v>3083.6</v>
      </c>
      <c r="F7" s="4">
        <v>3083.6</v>
      </c>
      <c r="G7" s="4">
        <v>3086.6</v>
      </c>
      <c r="H7" s="4">
        <v>3105.08</v>
      </c>
    </row>
    <row r="8" spans="1:8" ht="15" thickBot="1" x14ac:dyDescent="0.4">
      <c r="A8" s="4" t="s">
        <v>31</v>
      </c>
      <c r="B8" s="4">
        <v>908.6</v>
      </c>
      <c r="C8" s="4">
        <v>908.6</v>
      </c>
      <c r="D8" s="4">
        <v>908.6</v>
      </c>
      <c r="E8" s="4">
        <v>908.6</v>
      </c>
      <c r="F8" s="4">
        <v>908.6</v>
      </c>
      <c r="G8" s="4">
        <v>908.6</v>
      </c>
      <c r="H8" s="4">
        <v>1392.1</v>
      </c>
    </row>
    <row r="9" spans="1:8" ht="15" thickBot="1" x14ac:dyDescent="0.4">
      <c r="A9" s="4" t="s">
        <v>32</v>
      </c>
      <c r="B9" s="4">
        <v>6348.8</v>
      </c>
      <c r="C9" s="4">
        <v>6348.8</v>
      </c>
      <c r="D9" s="4">
        <v>6352.2</v>
      </c>
      <c r="E9" s="4">
        <v>6352.2</v>
      </c>
      <c r="F9" s="4">
        <v>6658.2</v>
      </c>
      <c r="G9" s="4">
        <v>6910.4</v>
      </c>
      <c r="H9" s="4">
        <v>6837.11</v>
      </c>
    </row>
    <row r="10" spans="1:8" ht="15" thickBot="1" x14ac:dyDescent="0.4">
      <c r="A10" s="6" t="s">
        <v>37</v>
      </c>
      <c r="B10" s="4">
        <v>114.4</v>
      </c>
      <c r="C10" s="4">
        <v>114.4</v>
      </c>
      <c r="D10" s="4">
        <v>114.4</v>
      </c>
      <c r="E10" s="4">
        <v>114.4</v>
      </c>
      <c r="F10" s="4">
        <v>114.4</v>
      </c>
      <c r="G10" s="4">
        <v>114.4</v>
      </c>
      <c r="H10" s="4">
        <v>114.4</v>
      </c>
    </row>
    <row r="11" spans="1:8" ht="15" thickBot="1" x14ac:dyDescent="0.4">
      <c r="A11" s="4" t="s">
        <v>36</v>
      </c>
      <c r="B11" s="4">
        <v>12546.5</v>
      </c>
      <c r="C11" s="4">
        <v>12836.7</v>
      </c>
      <c r="D11" s="4">
        <v>13026.4</v>
      </c>
      <c r="E11" s="4">
        <v>13227.9</v>
      </c>
      <c r="F11" s="4">
        <v>13268.1</v>
      </c>
      <c r="G11" s="4">
        <v>13556.4</v>
      </c>
      <c r="H11" s="4">
        <v>14049.4</v>
      </c>
    </row>
    <row r="12" spans="1:8" ht="15" thickBot="1" x14ac:dyDescent="0.4">
      <c r="A12" s="4" t="s">
        <v>34</v>
      </c>
      <c r="B12" s="4">
        <v>94.88</v>
      </c>
      <c r="C12" s="4">
        <v>94.88</v>
      </c>
      <c r="D12" s="4">
        <v>94.9</v>
      </c>
      <c r="E12" s="4">
        <v>94.88</v>
      </c>
      <c r="F12" s="4">
        <v>94.9</v>
      </c>
      <c r="G12" s="4">
        <v>94.9</v>
      </c>
      <c r="H12" s="4">
        <v>94.9</v>
      </c>
    </row>
    <row r="13" spans="1:8" ht="15" thickBot="1" x14ac:dyDescent="0.4">
      <c r="A13" s="5" t="s">
        <v>35</v>
      </c>
      <c r="B13" s="5">
        <f t="shared" ref="B13:G13" si="0">+SUM(B3:B12)</f>
        <v>39106.379999999997</v>
      </c>
      <c r="C13" s="5">
        <f t="shared" si="0"/>
        <v>39391.079999999994</v>
      </c>
      <c r="D13" s="5">
        <f t="shared" si="0"/>
        <v>39647.300000000003</v>
      </c>
      <c r="E13" s="8">
        <f t="shared" si="0"/>
        <v>39856.979999999996</v>
      </c>
      <c r="F13" s="8">
        <f t="shared" si="0"/>
        <v>40205.1</v>
      </c>
      <c r="G13" s="8">
        <f t="shared" si="0"/>
        <v>40748.6</v>
      </c>
      <c r="H13" s="8">
        <f>+SUM(H3:H12)</f>
        <v>41147.16</v>
      </c>
    </row>
    <row r="15" spans="1:7" ht="15" thickBot="1" x14ac:dyDescent="0.4"/>
    <row r="16" spans="1:7" ht="53" customHeight="1" thickBot="1" x14ac:dyDescent="0.4">
      <c r="A16" s="13" t="s">
        <v>40</v>
      </c>
      <c r="B16" s="13" t="s">
        <v>42</v>
      </c>
      <c r="C16" s="9" t="s">
        <v>41</v>
      </c>
    </row>
    <row r="17" spans="1:3" ht="15" thickBot="1" x14ac:dyDescent="0.4">
      <c r="A17" s="10" t="s">
        <v>27</v>
      </c>
      <c r="B17" s="12">
        <f>+C17*$C$25</f>
        <v>7556.2</v>
      </c>
      <c r="C17" s="10">
        <f>+SUM(H3:H4)/$H$13</f>
        <v>0.18363843336939897</v>
      </c>
    </row>
    <row r="18" spans="1:3" ht="15" thickBot="1" x14ac:dyDescent="0.4">
      <c r="A18" s="10" t="s">
        <v>28</v>
      </c>
      <c r="B18" s="12">
        <f t="shared" ref="B18:B24" si="1">+C18*$C$25</f>
        <v>4859.72</v>
      </c>
      <c r="C18" s="10">
        <f>+H5/$H$13</f>
        <v>0.11810584254174528</v>
      </c>
    </row>
    <row r="19" spans="1:3" ht="15" thickBot="1" x14ac:dyDescent="0.4">
      <c r="A19" s="10" t="s">
        <v>29</v>
      </c>
      <c r="B19" s="12">
        <f t="shared" si="1"/>
        <v>3138.25</v>
      </c>
      <c r="C19" s="10">
        <f>+H6/$H$13</f>
        <v>0.0762689332629518</v>
      </c>
    </row>
    <row r="20" spans="1:3" ht="15" thickBot="1" x14ac:dyDescent="0.4">
      <c r="A20" s="10" t="s">
        <v>30</v>
      </c>
      <c r="B20" s="12">
        <f t="shared" si="1"/>
        <v>3105.08</v>
      </c>
      <c r="C20" s="10">
        <f>+H7/$H$13</f>
        <v>0.07546280229303795</v>
      </c>
    </row>
    <row r="21" spans="1:3" ht="15" thickBot="1" x14ac:dyDescent="0.4">
      <c r="A21" s="10" t="s">
        <v>31</v>
      </c>
      <c r="B21" s="12">
        <f t="shared" si="1"/>
        <v>1392.1</v>
      </c>
      <c r="C21" s="10">
        <f>+H8/$H$13</f>
        <v>0.03383222560196134</v>
      </c>
    </row>
    <row r="22" spans="1:3" ht="15" thickBot="1" x14ac:dyDescent="0.4">
      <c r="A22" s="10" t="s">
        <v>32</v>
      </c>
      <c r="B22" s="12">
        <f t="shared" si="1"/>
        <v>6837.11</v>
      </c>
      <c r="C22" s="10">
        <f>+H9/$H$13</f>
        <v>0.1661623791289605</v>
      </c>
    </row>
    <row r="23" spans="1:3" ht="28" thickBot="1" x14ac:dyDescent="0.4">
      <c r="A23" s="10" t="s">
        <v>33</v>
      </c>
      <c r="B23" s="12">
        <f t="shared" si="1"/>
        <v>14163.8</v>
      </c>
      <c r="C23" s="11">
        <f>+(H10+H11)/$H$13</f>
        <v>0.34422302778612174</v>
      </c>
    </row>
    <row r="24" spans="1:3" ht="15" thickBot="1" x14ac:dyDescent="0.4">
      <c r="A24" s="10" t="s">
        <v>34</v>
      </c>
      <c r="B24" s="12">
        <f t="shared" si="1"/>
        <v>94.9</v>
      </c>
      <c r="C24" s="11">
        <f>+(H12)/$H$13</f>
        <v>0.002306356015822234</v>
      </c>
    </row>
    <row r="25" spans="1:3" ht="15" thickBot="1" x14ac:dyDescent="0.4">
      <c r="A25" s="5" t="s">
        <v>35</v>
      </c>
      <c r="B25" s="5">
        <f>+C25</f>
        <v>41147.16</v>
      </c>
      <c r="C25" s="5">
        <f>+H13</f>
        <v>41147.16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FormatPr defaultRowHeight="14.5"/>
  <cols>
    <col min="1" max="1" width="34" customWidth="1"/>
    <col min="2" max="2" width="30" customWidth="1"/>
    <col min="3" max="3" width="14" customWidth="1"/>
    <col min="4" max="4" width="14" customWidth="1"/>
    <col min="5" max="5" width="30" customWidth="1"/>
    <col min="6" max="6" width="26" customWidth="1"/>
    <col min="7" max="7" width="14" customWidth="1"/>
    <col min="8" max="8" width="52" customWidth="1"/>
  </cols>
  <sheetData>
    <row r="1" spans="1:8">
      <c r="A1" t="inlineStr">
        <is>
          <t xml:space="preserve">MARKET SHARE ESTIMATE - BESS CHILE</t>
        </is>
      </c>
    </row>
    <row r="2" spans="1:8">
      <c r="A2" t="inlineStr">
        <is>
          <t xml:space="preserve">Corrida</t>
        </is>
      </c>
      <c r="B2" t="inlineStr">
        <is>
          <t xml:space="preserve">2026-09-24 (Routine mensual) - ver bitacora al final</t>
        </is>
      </c>
    </row>
    <row r="3" spans="1:8">
      <c r="A3" t="inlineStr">
        <is>
          <t xml:space="preserve">Universo (base instalada)</t>
        </is>
      </c>
      <c r="B3" t="inlineStr">
        <is>
          <t xml:space="preserve">ACERA Boletin Estadisticas Agosto-26, Tabla 6: BESS En Operacion = 3.116 MW / 13.522 MWh</t>
        </is>
      </c>
    </row>
    <row r="4" spans="1:8">
      <c r="A4" t="inlineStr">
        <is>
          <t xml:space="preserve">Inventario de proyectos</t>
        </is>
      </c>
      <c r="B4" t="inlineStr">
        <is>
          <t xml:space="preserve">Ministerio de Energia, Reporte de Proyectos agosto 2026 (Tablas 2, 4 y 6) + ACERA ago-26</t>
        </is>
      </c>
    </row>
    <row r="5" spans="1:8">
      <c r="A5" t="inlineStr">
        <is>
          <t xml:space="preserve">Atribucion de fabricante</t>
        </is>
      </c>
      <c r="B5" t="inlineStr">
        <is>
          <t xml:space="preserve">Busqueda web amplia (prensa sectorial, comunicados de fabricantes y de desarrolladores)</t>
        </is>
      </c>
    </row>
    <row r="7" spans="1:8">
      <c r="A7" t="inlineStr">
        <is>
          <t xml:space="preserve">ADVERTENCIA METODOLOGICA</t>
        </is>
      </c>
    </row>
    <row r="8" spans="1:8">
      <c r="A8" t="inlineStr">
        <is>
          <t xml:space="preserve">1</t>
        </is>
      </c>
      <c r="B8" t="inlineStr">
        <is>
          <t xml:space="preserve">No existe fuente oficial de market share BESS en Chile. Esto es una estimacion, no una cifra dura.</t>
        </is>
      </c>
    </row>
    <row r="9" spans="1:8">
      <c r="A9" t="inlineStr">
        <is>
          <t xml:space="preserve">2</t>
        </is>
      </c>
      <c r="B9" t="inlineStr">
        <is>
          <t xml:space="preserve">Regla aplicada: si un proyecto no tiene fabricante identificable con confianza razonable, NO se le asigna uno a ojo;</t>
        </is>
      </c>
    </row>
    <row r="10" spans="1:8">
      <c r="B10" t="inlineStr">
        <is>
          <t xml:space="preserve">se excluye del calculo y se lista en la seccion de excluidos.</t>
        </is>
      </c>
    </row>
    <row r="11" spans="1:8">
      <c r="A11" t="inlineStr">
        <is>
          <t xml:space="preserve">3</t>
        </is>
      </c>
      <c r="B11" t="inlineStr">
        <is>
          <t xml:space="preserve">La base instalada (En Operacion, criterio ACERA/CEN) se cuenta aparte de lo que esta en pruebas o solo contratado:</t>
        </is>
      </c>
    </row>
    <row r="12" spans="1:8">
      <c r="B12" t="inlineStr">
        <is>
          <t xml:space="preserve">un proyecto en pruebas o un contrato firmado todavia no es capacidad instalada y no puede entrar en ese share.</t>
        </is>
      </c>
    </row>
    <row r="13" spans="1:8">
      <c r="A13" t="inlineStr">
        <is>
          <t xml:space="preserve">4</t>
        </is>
      </c>
      <c r="B13" t="inlineStr">
        <is>
          <t xml:space="preserve">RESULTADO DE ESTA CORRIDA: la cobertura de atribucion sobre la base instalada sigue siendo demasiado baja para</t>
        </is>
      </c>
    </row>
    <row r="14" spans="1:8">
      <c r="B14" t="inlineStr">
        <is>
          <t xml:space="preserve">publicar un % de participacion de mercado. Ver seccion 3. No se publica un porcentaje este mes.</t>
        </is>
      </c>
    </row>
    <row r="16" spans="1:8">
      <c r="A16" t="inlineStr">
        <is>
          <t xml:space="preserve">1. PROYECTOS CON FABRICANTE ATRIBUIDO - BASE INSTALADA (En Operacion)</t>
        </is>
      </c>
    </row>
    <row r="17" spans="1:8">
      <c r="A17" t="inlineStr">
        <is>
          <t xml:space="preserve">Proyecto</t>
        </is>
      </c>
      <c r="B17" t="inlineStr">
        <is>
          <t xml:space="preserve">Propietario / Desarrollador</t>
        </is>
      </c>
      <c r="C17" t="inlineStr">
        <is>
          <t xml:space="preserve">MW</t>
        </is>
      </c>
      <c r="D17" t="inlineStr">
        <is>
          <t xml:space="preserve">MWh</t>
        </is>
      </c>
      <c r="E17" t="inlineStr">
        <is>
          <t xml:space="preserve">Estado</t>
        </is>
      </c>
      <c r="F17" t="inlineStr">
        <is>
          <t xml:space="preserve">Fabricante / Integrador</t>
        </is>
      </c>
      <c r="G17" t="inlineStr">
        <is>
          <t xml:space="preserve">Confianza</t>
        </is>
      </c>
      <c r="H17" t="inlineStr">
        <is>
          <t xml:space="preserve">Fuente</t>
        </is>
      </c>
    </row>
    <row r="18" spans="1:8">
      <c r="A18" t="inlineStr">
        <is>
          <t xml:space="preserve">BESS del Desierto</t>
        </is>
      </c>
      <c r="B18" t="inlineStr">
        <is>
          <t xml:space="preserve">Atlas Renewable Energy</t>
        </is>
      </c>
      <c r="C18">
        <v>200</v>
      </c>
      <c r="D18">
        <v>800</v>
      </c>
      <c r="E18" t="inlineStr">
        <is>
          <t xml:space="preserve">En operacion (abr-2025)</t>
        </is>
      </c>
      <c r="F18" t="inlineStr">
        <is>
          <t xml:space="preserve">Sungrow (PowerTitan)</t>
        </is>
      </c>
      <c r="G18" t="inlineStr">
        <is>
          <t xml:space="preserve">Alta</t>
        </is>
      </c>
      <c r="H18" t="inlineStr">
        <is>
          <t xml:space="preserve">Sungrow, caso de estudio utility-scale; energy-storage.news 04-2025</t>
        </is>
      </c>
    </row>
    <row r="19" spans="1:8">
      <c r="A19" t="inlineStr">
        <is>
          <t xml:space="preserve">Andes Solar IIb (BESS)</t>
        </is>
      </c>
      <c r="B19" t="inlineStr">
        <is>
          <t xml:space="preserve">AES Andes</t>
        </is>
      </c>
      <c r="C19">
        <v>112</v>
      </c>
      <c r="D19">
        <v>560</v>
      </c>
      <c r="E19" t="inlineStr">
        <is>
          <t xml:space="preserve">En operacion (jul-2023)</t>
        </is>
      </c>
      <c r="F19" t="inlineStr">
        <is>
          <t xml:space="preserve">Fluence</t>
        </is>
      </c>
      <c r="G19" t="inlineStr">
        <is>
          <t xml:space="preserve">Alta</t>
        </is>
      </c>
      <c r="H19" t="inlineStr">
        <is>
          <t xml:space="preserve">energy-storage.news; AES Andes</t>
        </is>
      </c>
    </row>
    <row r="20" spans="1:8">
      <c r="A20" t="inlineStr">
        <is>
          <t xml:space="preserve">Virtual Reservoir II - Alfalfal</t>
        </is>
      </c>
      <c r="B20" t="inlineStr">
        <is>
          <t xml:space="preserve">AES Andes</t>
        </is>
      </c>
      <c r="C20" t="inlineStr">
        <is>
          <t xml:space="preserve">n/d</t>
        </is>
      </c>
      <c r="D20">
        <v>197</v>
      </c>
      <c r="E20" t="inlineStr">
        <is>
          <t xml:space="preserve">En operacion</t>
        </is>
      </c>
      <c r="F20" t="inlineStr">
        <is>
          <t xml:space="preserve">Fluence (Gridstack)</t>
        </is>
      </c>
      <c r="G20" t="inlineStr">
        <is>
          <t xml:space="preserve">Alta</t>
        </is>
      </c>
      <c r="H20" t="inlineStr">
        <is>
          <t xml:space="preserve">AES Andes / Fluence (Gridstack)</t>
        </is>
      </c>
    </row>
    <row r="21" spans="1:8">
      <c r="A21" t="inlineStr">
        <is>
          <t xml:space="preserve">BESS Coya</t>
        </is>
      </c>
      <c r="B21" t="inlineStr">
        <is>
          <t xml:space="preserve">Engie Chile</t>
        </is>
      </c>
      <c r="C21">
        <v>139</v>
      </c>
      <c r="D21">
        <v>638</v>
      </c>
      <c r="E21" t="inlineStr">
        <is>
          <t xml:space="preserve">En operacion (abr-2024)</t>
        </is>
      </c>
      <c r="F21" t="inlineStr">
        <is>
          <t xml:space="preserve">Sungrow</t>
        </is>
      </c>
      <c r="G21" t="inlineStr">
        <is>
          <t xml:space="preserve">Media</t>
        </is>
      </c>
      <c r="H21" t="inlineStr">
        <is>
          <t xml:space="preserve">Prensa sectorial; Engie no publica el fabricante</t>
        </is>
      </c>
    </row>
    <row r="23" spans="1:8">
      <c r="A23" t="inlineStr">
        <is>
          <t xml:space="preserve">2. ATRIBUIDOS QUE NO SON BASE INSTALADA (en pruebas o contrato anunciado) - EXCLUIDOS DEL SHARE</t>
        </is>
      </c>
    </row>
    <row r="24" spans="1:8">
      <c r="A24" t="inlineStr">
        <is>
          <t xml:space="preserve">Proyecto</t>
        </is>
      </c>
      <c r="B24" t="inlineStr">
        <is>
          <t xml:space="preserve">Propietario / Desarrollador</t>
        </is>
      </c>
      <c r="C24" t="inlineStr">
        <is>
          <t xml:space="preserve">MW</t>
        </is>
      </c>
      <c r="D24" t="inlineStr">
        <is>
          <t xml:space="preserve">MWh</t>
        </is>
      </c>
      <c r="E24" t="inlineStr">
        <is>
          <t xml:space="preserve">Estado</t>
        </is>
      </c>
      <c r="F24" t="inlineStr">
        <is>
          <t xml:space="preserve">Fabricante / Integrador</t>
        </is>
      </c>
      <c r="G24" t="inlineStr">
        <is>
          <t xml:space="preserve">Confianza</t>
        </is>
      </c>
      <c r="H24" t="inlineStr">
        <is>
          <t xml:space="preserve">Fuente</t>
        </is>
      </c>
    </row>
    <row r="25" spans="1:8">
      <c r="A25" t="inlineStr">
        <is>
          <t xml:space="preserve">BESS Elena Fase I (Oasis de Atacama F6)</t>
        </is>
      </c>
      <c r="B25" t="inlineStr">
        <is>
          <t xml:space="preserve">Grenergy</t>
        </is>
      </c>
      <c r="C25">
        <v>430</v>
      </c>
      <c r="D25">
        <v>3010</v>
      </c>
      <c r="E25" t="inlineStr">
        <is>
          <t xml:space="preserve">En pruebas (Min. Energia ago-26; inaugurado 08-jun-2026)</t>
        </is>
      </c>
      <c r="F25" t="inlineStr">
        <is>
          <t xml:space="preserve">BYD (MC Cube-T; 6.240 uds / 624 contenedores)</t>
        </is>
      </c>
      <c r="G25" t="inlineStr">
        <is>
          <t xml:space="preserve">Alta</t>
        </is>
      </c>
      <c r="H25" t="inlineStr">
        <is>
          <t xml:space="preserve">Grenergy, comunicado 21-05-2025; energy-storage.news 06-2026</t>
        </is>
      </c>
    </row>
    <row r="26" spans="1:8">
      <c r="A26" t="inlineStr">
        <is>
          <t xml:space="preserve">Observatorio (PV+BESS)</t>
        </is>
      </c>
      <c r="B26" t="inlineStr">
        <is>
          <t xml:space="preserve">Verano Energy</t>
        </is>
      </c>
      <c r="C26">
        <v>152</v>
      </c>
      <c r="D26">
        <v>606</v>
      </c>
      <c r="E26" t="inlineStr">
        <is>
          <t xml:space="preserve">Contrato anunciado (ago-2026)</t>
        </is>
      </c>
      <c r="F26" t="inlineStr">
        <is>
          <t xml:space="preserve">Sungrow (PowerTitan 2)</t>
        </is>
      </c>
      <c r="G26" t="inlineStr">
        <is>
          <t xml:space="preserve">Alta</t>
        </is>
      </c>
      <c r="H26" t="inlineStr">
        <is>
          <t xml:space="preserve">ess-news.com 12-08-2026</t>
        </is>
      </c>
    </row>
    <row r="27" spans="1:8">
      <c r="A27" t="inlineStr">
        <is>
          <t xml:space="preserve">Complejo PV+BESS BHP</t>
        </is>
      </c>
      <c r="B27" t="inlineStr">
        <is>
          <t xml:space="preserve">BHP</t>
        </is>
      </c>
      <c r="C27" t="inlineStr">
        <is>
          <t xml:space="preserve">n/d</t>
        </is>
      </c>
      <c r="D27">
        <v>960</v>
      </c>
      <c r="E27" t="inlineStr">
        <is>
          <t xml:space="preserve">Contrato anunciado (jul-2026)</t>
        </is>
      </c>
      <c r="F27" t="inlineStr">
        <is>
          <t xml:space="preserve">Sungrow</t>
        </is>
      </c>
      <c r="G27" t="inlineStr">
        <is>
          <t xml:space="preserve">Media</t>
        </is>
      </c>
      <c r="H27" t="inlineStr">
        <is>
          <t xml:space="preserve">Prensa sectorial 07-2026</t>
        </is>
      </c>
    </row>
    <row r="28" spans="1:8">
      <c r="A28" t="inlineStr">
        <is>
          <t xml:space="preserve">Nota</t>
        </is>
      </c>
      <c r="B28" t="inlineStr">
        <is>
          <t xml:space="preserve">BESS Elena es la primera atribucion Alta a BYD en Chile en esta hoja. NO entra en el share porque el CEN/Min. Energia</t>
        </is>
      </c>
    </row>
    <row r="29" spans="1:8">
      <c r="B29" t="inlineStr">
        <is>
          <t xml:space="preserve">lo clasifica En Pruebas a ago-26, no En Operacion. Pasa a la seccion 1 en cuanto ACERA lo reporte en operacion.</t>
        </is>
      </c>
    </row>
    <row r="31" spans="1:8">
      <c r="A31" t="inlineStr">
        <is>
          <t xml:space="preserve">3. COBERTURA DE LA MUESTRA SOBRE LA BASE INSTALADA</t>
        </is>
      </c>
    </row>
    <row r="32" spans="1:8">
      <c r="A32" t="inlineStr">
        <is>
          <t xml:space="preserve">Criterio</t>
        </is>
      </c>
      <c r="B32" t="inlineStr">
        <is>
          <t xml:space="preserve">MW atribuidos</t>
        </is>
      </c>
      <c r="C32" t="inlineStr">
        <is>
          <t xml:space="preserve">MW universo</t>
        </is>
      </c>
      <c r="D32" t="inlineStr">
        <is>
          <t xml:space="preserve">Cobertura MW</t>
        </is>
      </c>
      <c r="E32" t="inlineStr">
        <is>
          <t xml:space="preserve">MWh atribuidos</t>
        </is>
      </c>
      <c r="F32" t="inlineStr">
        <is>
          <t xml:space="preserve">MWh universo</t>
        </is>
      </c>
      <c r="G32" t="inlineStr">
        <is>
          <t xml:space="preserve">Cobertura MWh</t>
        </is>
      </c>
    </row>
    <row r="33" spans="1:8">
      <c r="A33" t="inlineStr">
        <is>
          <t xml:space="preserve">Solo confianza Alta</t>
        </is>
      </c>
      <c r="B33">
        <v>312</v>
      </c>
      <c r="C33">
        <v>3116</v>
      </c>
      <c r="D33">
        <v>0.10012836970474968</v>
      </c>
      <c r="E33">
        <v>1557</v>
      </c>
      <c r="F33">
        <v>13522</v>
      </c>
      <c r="G33">
        <v>0.11514568850761722</v>
      </c>
    </row>
    <row r="34" spans="1:8">
      <c r="A34" t="inlineStr">
        <is>
          <t xml:space="preserve">Alta + Media</t>
        </is>
      </c>
      <c r="B34">
        <v>451</v>
      </c>
      <c r="C34">
        <v>3116</v>
      </c>
      <c r="D34">
        <v>0.14473684210526316</v>
      </c>
      <c r="E34">
        <v>2195</v>
      </c>
      <c r="F34">
        <v>13522</v>
      </c>
      <c r="G34">
        <v>0.16232805797958882</v>
      </c>
    </row>
    <row r="35" spans="1:8">
      <c r="A35" t="inlineStr">
        <is>
          <t xml:space="preserve">Nota</t>
        </is>
      </c>
      <c r="B35" t="inlineStr">
        <is>
          <t xml:space="preserve">Virtual Reservoir II aporta MWh pero su MW no esta confirmado; no suma a los MW atribuidos.</t>
        </is>
      </c>
    </row>
    <row r="36" spans="1:8">
      <c r="A36" t="inlineStr">
        <is>
          <t xml:space="preserve">Nota</t>
        </is>
      </c>
      <c r="B36" t="inlineStr">
        <is>
          <t xml:space="preserve">La cobertura BAJA respecto de la corrida anterior (11,8% -&gt; 10,0% en MW) sin que se perdiera ninguna atribucion:</t>
        </is>
      </c>
    </row>
    <row r="37" spans="1:8">
      <c r="B37" t="inlineStr">
        <is>
          <t xml:space="preserve">el universo ACERA crecio de 2.655 a 3.116 MW y ninguno de los proyectos que entraron en operacion tiene fabricante publico.</t>
        </is>
      </c>
    </row>
    <row r="39" spans="1:8">
      <c r="A39" t="inlineStr">
        <is>
          <t xml:space="preserve">4. CONCLUSION</t>
        </is>
      </c>
    </row>
    <row r="40" spans="1:8">
      <c r="B40" t="inlineStr">
        <is>
          <t xml:space="preserve">Con cobertura de 10%-14% de los MW instalados (12%-16% de los MWh), cualquier reparto porcentual entre</t>
        </is>
      </c>
    </row>
    <row r="41" spans="1:8">
      <c r="B41" t="inlineStr">
        <is>
          <t xml:space="preserve">fabricantes estaria determinado por los proyectos SIN atribucion, no por los atribuidos. Publicar un share</t>
        </is>
      </c>
    </row>
    <row r="42" spans="1:8">
      <c r="B42" t="inlineStr">
        <is>
          <t xml:space="preserve">con esta base seria dar una precision que la metodologia no sostiene, lo que la regla del repo prohibe.</t>
        </is>
      </c>
    </row>
    <row r="43" spans="1:8">
      <c r="B43" t="inlineStr">
        <is>
          <t xml:space="preserve">Lectura cualitativa admisible: entre los proyectos con fabricante confirmado publicamente aparecen Sungrow y</t>
        </is>
      </c>
    </row>
    <row r="44" spans="1:8">
      <c r="B44" t="inlineStr">
        <is>
          <t xml:space="preserve">Fluence en base instalada, y BYD con el mayor sistema individual del pais (Elena, 3.010 MWh) todavia en pruebas.</t>
        </is>
      </c>
    </row>
    <row r="45" spans="1:8">
      <c r="B45" t="inlineStr">
        <is>
          <t xml:space="preserve">NO se debe leer como un ranking de mercado: es lo que se puede ver, no lo que hay. CATL, Tesla, Wartsila, Trina,</t>
        </is>
      </c>
    </row>
    <row r="46" spans="1:8">
      <c r="B46" t="inlineStr">
        <is>
          <t xml:space="preserve">Huawei y e-STORAGE no aparecen con atribucion publica confirmada en proyectos chilenos en esta corrida.</t>
        </is>
      </c>
    </row>
    <row r="48" spans="1:8">
      <c r="A48" t="inlineStr">
        <is>
          <t xml:space="preserve">5. PROYECTOS SIN FABRICANTE CONFIRMADO - EN OPERACION (pesan en el universo, no en el numerador)</t>
        </is>
      </c>
    </row>
    <row r="49" spans="1:8">
      <c r="A49" t="inlineStr">
        <is>
          <t xml:space="preserve">Proyecto</t>
        </is>
      </c>
      <c r="B49" t="inlineStr">
        <is>
          <t xml:space="preserve">Titular</t>
        </is>
      </c>
      <c r="C49" t="inlineStr">
        <is>
          <t xml:space="preserve">MW</t>
        </is>
      </c>
      <c r="D49" t="inlineStr">
        <is>
          <t xml:space="preserve">MWh</t>
        </is>
      </c>
      <c r="E49" t="inlineStr">
        <is>
          <t xml:space="preserve">Entrada en operacion</t>
        </is>
      </c>
      <c r="F49" t="inlineStr">
        <is>
          <t xml:space="preserve">Fuente</t>
        </is>
      </c>
    </row>
    <row r="50" spans="1:8">
      <c r="A50" t="inlineStr">
        <is>
          <t xml:space="preserve">BESS - Gabriela Solar</t>
        </is>
      </c>
      <c r="B50" t="inlineStr">
        <is>
          <t xml:space="preserve">Grenergy</t>
        </is>
      </c>
      <c r="C50">
        <v>220</v>
      </c>
      <c r="D50">
        <v>1100</v>
      </c>
      <c r="E50" t="inlineStr">
        <is>
          <t xml:space="preserve">ago-2026</t>
        </is>
      </c>
      <c r="F50" t="inlineStr">
        <is>
          <t xml:space="preserve">Min. Energia ago-26, Tabla 2</t>
        </is>
      </c>
    </row>
    <row r="51" spans="1:8">
      <c r="A51" t="inlineStr">
        <is>
          <t xml:space="preserve">BESS Libelula</t>
        </is>
      </c>
      <c r="B51" t="inlineStr">
        <is>
          <t xml:space="preserve">Engie</t>
        </is>
      </c>
      <c r="C51">
        <v>199</v>
      </c>
      <c r="D51">
        <v>960</v>
      </c>
      <c r="E51" t="inlineStr">
        <is>
          <t xml:space="preserve">ago-2026</t>
        </is>
      </c>
      <c r="F51" t="inlineStr">
        <is>
          <t xml:space="preserve">Min. Energia ago-26, Tabla 2</t>
        </is>
      </c>
    </row>
    <row r="52" spans="1:8">
      <c r="A52" t="inlineStr">
        <is>
          <t xml:space="preserve">BESS Los Loros</t>
        </is>
      </c>
      <c r="B52" t="inlineStr">
        <is>
          <t xml:space="preserve">Engie</t>
        </is>
      </c>
      <c r="C52">
        <v>46</v>
      </c>
      <c r="D52">
        <v>230</v>
      </c>
      <c r="E52" t="inlineStr">
        <is>
          <t xml:space="preserve">ago-2026</t>
        </is>
      </c>
      <c r="F52" t="inlineStr">
        <is>
          <t xml:space="preserve">Min. Energia ago-26, Tabla 2</t>
        </is>
      </c>
    </row>
    <row r="53" spans="1:8">
      <c r="A53" t="inlineStr">
        <is>
          <t xml:space="preserve">BESS Arica II</t>
        </is>
      </c>
      <c r="B53" t="inlineStr">
        <is>
          <t xml:space="preserve">Engie</t>
        </is>
      </c>
      <c r="C53">
        <v>30</v>
      </c>
      <c r="D53">
        <v>150</v>
      </c>
      <c r="E53" t="inlineStr">
        <is>
          <t xml:space="preserve">ago-2026</t>
        </is>
      </c>
      <c r="F53" t="inlineStr">
        <is>
          <t xml:space="preserve">Min. Energia ago-26, Tabla 2</t>
        </is>
      </c>
    </row>
    <row r="54" spans="1:8">
      <c r="A54" t="inlineStr">
        <is>
          <t xml:space="preserve">BESS Lota II</t>
        </is>
      </c>
      <c r="B54" t="inlineStr">
        <is>
          <t xml:space="preserve">Tedlar Marte SpA</t>
        </is>
      </c>
      <c r="C54">
        <v>2</v>
      </c>
      <c r="D54">
        <v>12</v>
      </c>
      <c r="E54" t="inlineStr">
        <is>
          <t xml:space="preserve">ago-2026</t>
        </is>
      </c>
      <c r="F54" t="inlineStr">
        <is>
          <t xml:space="preserve">Min. Energia ago-26, Tabla 2</t>
        </is>
      </c>
    </row>
    <row r="55" spans="1:8">
      <c r="A55" t="inlineStr">
        <is>
          <t xml:space="preserve">BESS Estepa Solar</t>
        </is>
      </c>
      <c r="B55" t="inlineStr">
        <is>
          <t xml:space="preserve">Atlas</t>
        </is>
      </c>
      <c r="C55">
        <v>188</v>
      </c>
      <c r="D55">
        <v>752</v>
      </c>
      <c r="E55" t="inlineStr">
        <is>
          <t xml:space="preserve">jul-2026</t>
        </is>
      </c>
      <c r="F55" t="inlineStr">
        <is>
          <t xml:space="preserve">Min. Energia jul-26, Tabla 2</t>
        </is>
      </c>
    </row>
    <row r="56" spans="1:8">
      <c r="A56" t="inlineStr">
        <is>
          <t xml:space="preserve">Bolero BESS</t>
        </is>
      </c>
      <c r="B56" t="inlineStr">
        <is>
          <t xml:space="preserve">AES Andes</t>
        </is>
      </c>
      <c r="C56">
        <v>146</v>
      </c>
      <c r="D56">
        <v>438</v>
      </c>
      <c r="E56" t="inlineStr">
        <is>
          <t xml:space="preserve">jul-2026</t>
        </is>
      </c>
      <c r="F56" t="inlineStr">
        <is>
          <t xml:space="preserve">Min. Energia jul-26, Tabla 2</t>
        </is>
      </c>
    </row>
    <row r="57" spans="1:8">
      <c r="A57" t="inlineStr">
        <is>
          <t xml:space="preserve">Arena BESS CI GMF II</t>
        </is>
      </c>
      <c r="B57" t="inlineStr">
        <is>
          <t xml:space="preserve">GMF II Arena ProjectCo SpA</t>
        </is>
      </c>
      <c r="C57">
        <v>220</v>
      </c>
      <c r="D57" t="inlineStr">
        <is>
          <t xml:space="preserve">n/d</t>
        </is>
      </c>
      <c r="E57" t="inlineStr">
        <is>
          <t xml:space="preserve">jun-2026</t>
        </is>
      </c>
      <c r="F57" t="inlineStr">
        <is>
          <t xml:space="preserve">Min. Energia jun-26</t>
        </is>
      </c>
    </row>
    <row r="58" spans="1:8">
      <c r="A58" t="inlineStr">
        <is>
          <t xml:space="preserve">Andes Solar IV (BESS)</t>
        </is>
      </c>
      <c r="B58" t="inlineStr">
        <is>
          <t xml:space="preserve">AES Andes</t>
        </is>
      </c>
      <c r="C58">
        <v>130</v>
      </c>
      <c r="D58" t="inlineStr">
        <is>
          <t xml:space="preserve">n/d</t>
        </is>
      </c>
      <c r="E58" t="inlineStr">
        <is>
          <t xml:space="preserve">2026</t>
        </is>
      </c>
      <c r="F58" t="inlineStr">
        <is>
          <t xml:space="preserve">Corrida anterior</t>
        </is>
      </c>
    </row>
    <row r="60" spans="1:8">
      <c r="A60" t="inlineStr">
        <is>
          <t xml:space="preserve">6. PROYECTOS EN PRUEBAS SIN FABRICANTE CONFIRMADO (Min. Energia ago-26, Tabla 4 - 23 sistemas, 2.686 MW / 12.408 MWh)</t>
        </is>
      </c>
    </row>
    <row r="61" spans="1:8">
      <c r="A61" t="inlineStr">
        <is>
          <t xml:space="preserve">Proyecto</t>
        </is>
      </c>
      <c r="B61" t="inlineStr">
        <is>
          <t xml:space="preserve">Titular</t>
        </is>
      </c>
      <c r="C61" t="inlineStr">
        <is>
          <t xml:space="preserve">MW</t>
        </is>
      </c>
      <c r="D61" t="inlineStr">
        <is>
          <t xml:space="preserve">MWh</t>
        </is>
      </c>
    </row>
    <row r="62" spans="1:8">
      <c r="A62" t="inlineStr">
        <is>
          <t xml:space="preserve">BESS Elena Fase I</t>
        </is>
      </c>
      <c r="B62" t="inlineStr">
        <is>
          <t xml:space="preserve">Grenergy</t>
        </is>
      </c>
      <c r="C62">
        <v>430</v>
      </c>
      <c r="D62">
        <v>3010</v>
      </c>
    </row>
    <row r="63" spans="1:8">
      <c r="A63" t="inlineStr">
        <is>
          <t xml:space="preserve">BESS - Parque Fotovoltaico Cristales</t>
        </is>
      </c>
      <c r="B63" t="inlineStr">
        <is>
          <t xml:space="preserve">AES Andes</t>
        </is>
      </c>
      <c r="C63">
        <v>340</v>
      </c>
      <c r="D63">
        <v>1360</v>
      </c>
    </row>
    <row r="64" spans="1:8">
      <c r="A64" t="inlineStr">
        <is>
          <t xml:space="preserve">BESS Arenales</t>
        </is>
      </c>
      <c r="B64" t="inlineStr">
        <is>
          <t xml:space="preserve">AES Andes</t>
        </is>
      </c>
      <c r="C64">
        <v>300</v>
      </c>
      <c r="D64">
        <v>900</v>
      </c>
    </row>
    <row r="65" spans="1:8">
      <c r="A65" t="inlineStr">
        <is>
          <t xml:space="preserve">BESS Estepa II</t>
        </is>
      </c>
      <c r="B65" t="inlineStr">
        <is>
          <t xml:space="preserve">Atlas</t>
        </is>
      </c>
      <c r="C65">
        <v>230</v>
      </c>
      <c r="D65">
        <v>920</v>
      </c>
    </row>
    <row r="66" spans="1:8">
      <c r="A66" t="inlineStr">
        <is>
          <t xml:space="preserve">BESS Chaca (Proyecto Celda Solar)</t>
        </is>
      </c>
      <c r="B66" t="inlineStr">
        <is>
          <t xml:space="preserve">Colbun</t>
        </is>
      </c>
      <c r="C66">
        <v>228</v>
      </c>
      <c r="D66">
        <v>912</v>
      </c>
    </row>
    <row r="67" spans="1:8">
      <c r="A67" t="inlineStr">
        <is>
          <t xml:space="preserve">BESS Estela (Ex-BESS PFV Aurora Solar)</t>
        </is>
      </c>
      <c r="B67" t="inlineStr">
        <is>
          <t xml:space="preserve">Zelestra Energy</t>
        </is>
      </c>
      <c r="C67">
        <v>187</v>
      </c>
      <c r="D67">
        <v>935</v>
      </c>
    </row>
    <row r="68" spans="1:8">
      <c r="A68" t="inlineStr">
        <is>
          <t xml:space="preserve">BESS Lile</t>
        </is>
      </c>
      <c r="B68" t="inlineStr">
        <is>
          <t xml:space="preserve">Engie</t>
        </is>
      </c>
      <c r="C68">
        <v>140</v>
      </c>
      <c r="D68">
        <v>798</v>
      </c>
    </row>
    <row r="69" spans="1:8">
      <c r="A69" t="inlineStr">
        <is>
          <t xml:space="preserve">BESS Taira</t>
        </is>
      </c>
      <c r="B69" t="inlineStr">
        <is>
          <t xml:space="preserve">Metlen</t>
        </is>
      </c>
      <c r="C69">
        <v>124</v>
      </c>
      <c r="D69">
        <v>619</v>
      </c>
    </row>
    <row r="70" spans="1:8">
      <c r="A70" t="inlineStr">
        <is>
          <t xml:space="preserve">BESS Granja Solar</t>
        </is>
      </c>
      <c r="B70" t="inlineStr">
        <is>
          <t xml:space="preserve">Copec Renovables</t>
        </is>
      </c>
      <c r="C70">
        <v>105</v>
      </c>
      <c r="D70">
        <v>420</v>
      </c>
    </row>
    <row r="71" spans="1:8">
      <c r="A71" t="inlineStr">
        <is>
          <t xml:space="preserve">BESS Huatacondo</t>
        </is>
      </c>
      <c r="B71" t="inlineStr">
        <is>
          <t xml:space="preserve">Sojitz</t>
        </is>
      </c>
      <c r="C71">
        <v>98</v>
      </c>
      <c r="D71">
        <v>98</v>
      </c>
    </row>
    <row r="72" spans="1:8">
      <c r="A72" t="inlineStr">
        <is>
          <t xml:space="preserve">BESS Tamarico</t>
        </is>
      </c>
      <c r="B72" t="inlineStr">
        <is>
          <t xml:space="preserve">Metlen</t>
        </is>
      </c>
      <c r="C72">
        <v>90</v>
      </c>
      <c r="D72">
        <v>450</v>
      </c>
    </row>
    <row r="73" spans="1:8">
      <c r="A73" t="inlineStr">
        <is>
          <t xml:space="preserve">BESS Sol de Los Andes</t>
        </is>
      </c>
      <c r="B73" t="inlineStr">
        <is>
          <t xml:space="preserve">OPDE</t>
        </is>
      </c>
      <c r="C73">
        <v>90</v>
      </c>
      <c r="D73">
        <v>449</v>
      </c>
    </row>
    <row r="74" spans="1:8">
      <c r="A74" t="inlineStr">
        <is>
          <t xml:space="preserve">BESS - PFV Willka</t>
        </is>
      </c>
      <c r="B74" t="inlineStr">
        <is>
          <t xml:space="preserve">Metlen</t>
        </is>
      </c>
      <c r="C74">
        <v>61</v>
      </c>
      <c r="D74">
        <v>307</v>
      </c>
    </row>
    <row r="75" spans="1:8">
      <c r="A75" t="inlineStr">
        <is>
          <t xml:space="preserve">Punta de Talca BESS</t>
        </is>
      </c>
      <c r="B75" t="inlineStr">
        <is>
          <t xml:space="preserve">EDP Renewables Chile</t>
        </is>
      </c>
      <c r="C75">
        <v>60</v>
      </c>
      <c r="D75">
        <v>240</v>
      </c>
    </row>
    <row r="76" spans="1:8">
      <c r="A76" t="inlineStr">
        <is>
          <t xml:space="preserve">BESS Kallpa (Ex Santa Lya)</t>
        </is>
      </c>
      <c r="B76" t="inlineStr">
        <is>
          <t xml:space="preserve">Engie</t>
        </is>
      </c>
      <c r="C76">
        <v>57</v>
      </c>
      <c r="D76">
        <v>285</v>
      </c>
    </row>
    <row r="77" spans="1:8">
      <c r="A77" t="inlineStr">
        <is>
          <t xml:space="preserve">BESS Dona Antonia</t>
        </is>
      </c>
      <c r="B77" t="inlineStr">
        <is>
          <t xml:space="preserve">Metlen</t>
        </is>
      </c>
      <c r="C77">
        <v>47</v>
      </c>
      <c r="D77">
        <v>234</v>
      </c>
    </row>
    <row r="78" spans="1:8">
      <c r="A78" t="inlineStr">
        <is>
          <t xml:space="preserve">BESS - PFV San Andres II</t>
        </is>
      </c>
      <c r="B78" t="inlineStr">
        <is>
          <t xml:space="preserve">Innergex</t>
        </is>
      </c>
      <c r="C78">
        <v>42</v>
      </c>
      <c r="D78">
        <v>210</v>
      </c>
    </row>
    <row r="79" spans="1:8">
      <c r="A79" t="inlineStr">
        <is>
          <t xml:space="preserve">BESS II Salvador</t>
        </is>
      </c>
      <c r="B79" t="inlineStr">
        <is>
          <t xml:space="preserve">Innergex</t>
        </is>
      </c>
      <c r="C79">
        <v>20</v>
      </c>
      <c r="D79">
        <v>100</v>
      </c>
    </row>
    <row r="80" spans="1:8">
      <c r="A80" t="inlineStr">
        <is>
          <t xml:space="preserve">BESS Santa Marta</t>
        </is>
      </c>
      <c r="B80" t="inlineStr">
        <is>
          <t xml:space="preserve">Empresa Consorcio Santa Marta</t>
        </is>
      </c>
      <c r="C80">
        <v>10</v>
      </c>
      <c r="D80">
        <v>50</v>
      </c>
    </row>
    <row r="81" spans="1:8">
      <c r="A81" t="inlineStr">
        <is>
          <t xml:space="preserve">BESS PFV San Ramon</t>
        </is>
      </c>
      <c r="B81" t="inlineStr">
        <is>
          <t xml:space="preserve">PSF San Ramon SpA</t>
        </is>
      </c>
      <c r="C81">
        <v>9</v>
      </c>
      <c r="D81">
        <v>36</v>
      </c>
    </row>
    <row r="82" spans="1:8">
      <c r="A82" t="inlineStr">
        <is>
          <t xml:space="preserve">BESS Los Quilos</t>
        </is>
      </c>
      <c r="B82" t="inlineStr">
        <is>
          <t xml:space="preserve">PSF Los Quilos SpA</t>
        </is>
      </c>
      <c r="C82">
        <v>9</v>
      </c>
      <c r="D82">
        <v>33</v>
      </c>
    </row>
    <row r="83" spans="1:8">
      <c r="A83" t="inlineStr">
        <is>
          <t xml:space="preserve">BESS Los Maitenes</t>
        </is>
      </c>
      <c r="B83" t="inlineStr">
        <is>
          <t xml:space="preserve">Orion Power SpA</t>
        </is>
      </c>
      <c r="C83">
        <v>5</v>
      </c>
      <c r="D83">
        <v>22</v>
      </c>
    </row>
    <row r="84" spans="1:8">
      <c r="A84" t="inlineStr">
        <is>
          <t xml:space="preserve">PSF BESS Las Violetas</t>
        </is>
      </c>
      <c r="B84" t="inlineStr">
        <is>
          <t xml:space="preserve">PSF Las Violetas SpA</t>
        </is>
      </c>
      <c r="C84">
        <v>4</v>
      </c>
      <c r="D84">
        <v>22</v>
      </c>
    </row>
    <row r="85" spans="1:8">
      <c r="A85" t="inlineStr">
        <is>
          <t xml:space="preserve">Nota</t>
        </is>
      </c>
      <c r="B85" t="inlineStr">
        <is>
          <t xml:space="preserve">BESS Elena Fase I si tiene fabricante confirmado (BYD, seccion 2); se lista aqui por completitud de la Tabla 4.</t>
        </is>
      </c>
    </row>
    <row r="87" spans="1:8">
      <c r="B87" t="inlineStr">
        <is>
          <t xml:space="preserve">Para elevar la cobertura en proximas corridas: licitaciones adjudicadas (CEN/CNE), memorias anuales de los</t>
        </is>
      </c>
    </row>
    <row r="88" spans="1:8">
      <c r="B88" t="inlineStr">
        <is>
          <t xml:space="preserve">desarrolladores, y comunicados de los propios fabricantes son las vias con mayor tasa de atribucion confirmada.</t>
        </is>
      </c>
    </row>
    <row r="90" spans="1:8">
      <c r="A90" t="inlineStr">
        <is>
          <t xml:space="preserve">7. MAIN FUTURE PROJECTS (&gt;= ~1000 MWh)</t>
        </is>
      </c>
    </row>
    <row r="91" spans="1:8">
      <c r="A91" t="inlineStr">
        <is>
          <t xml:space="preserve">Fuente: Ministerio de Energia, Reporte de Proyectos agosto 2026 (/MIN ENERGIA/), Tablas 4 y 6.</t>
        </is>
      </c>
    </row>
    <row r="92" spans="1:8">
      <c r="A92" t="inlineStr">
        <is>
          <t xml:space="preserve">Proyecto</t>
        </is>
      </c>
      <c r="B92" t="inlineStr">
        <is>
          <t xml:space="preserve">Titular</t>
        </is>
      </c>
      <c r="C92" t="inlineStr">
        <is>
          <t xml:space="preserve">MW</t>
        </is>
      </c>
      <c r="D92" t="inlineStr">
        <is>
          <t xml:space="preserve">MWh</t>
        </is>
      </c>
      <c r="E92" t="inlineStr">
        <is>
          <t xml:space="preserve">Etapa</t>
        </is>
      </c>
      <c r="F92" t="inlineStr">
        <is>
          <t xml:space="preserve">Movimiento en esta corrida</t>
        </is>
      </c>
    </row>
    <row r="93" spans="1:8">
      <c r="A93" t="inlineStr">
        <is>
          <t xml:space="preserve">BESS Elena Fase I</t>
        </is>
      </c>
      <c r="B93" t="inlineStr">
        <is>
          <t xml:space="preserve">Grenergy</t>
        </is>
      </c>
      <c r="C93">
        <v>430</v>
      </c>
      <c r="D93">
        <v>3010</v>
      </c>
      <c r="E93" t="inlineStr">
        <is>
          <t xml:space="preserve">En pruebas</t>
        </is>
      </c>
      <c r="F93" t="inlineStr">
        <is>
          <t xml:space="preserve">Se mantiene</t>
        </is>
      </c>
    </row>
    <row r="94" spans="1:8">
      <c r="A94" t="inlineStr">
        <is>
          <t xml:space="preserve">Sandstone BESS IV (Ex-Patache BESS)</t>
        </is>
      </c>
      <c r="B94" t="inlineStr">
        <is>
          <t xml:space="preserve">Copenhagen Infrastructure Partners</t>
        </is>
      </c>
      <c r="C94">
        <v>300</v>
      </c>
      <c r="D94">
        <v>1500</v>
      </c>
      <c r="E94" t="inlineStr">
        <is>
          <t xml:space="preserve">En construccion (oct-27)</t>
        </is>
      </c>
      <c r="F94" t="inlineStr">
        <is>
          <t xml:space="preserve">Se mantiene</t>
        </is>
      </c>
    </row>
    <row r="95" spans="1:8">
      <c r="A95" t="inlineStr">
        <is>
          <t xml:space="preserve">BESS - Parque Fotovoltaico Cristales</t>
        </is>
      </c>
      <c r="B95" t="inlineStr">
        <is>
          <t xml:space="preserve">AES Andes</t>
        </is>
      </c>
      <c r="C95">
        <v>340</v>
      </c>
      <c r="D95">
        <v>1360</v>
      </c>
      <c r="E95" t="inlineStr">
        <is>
          <t xml:space="preserve">En pruebas</t>
        </is>
      </c>
      <c r="F95" t="inlineStr">
        <is>
          <t xml:space="preserve">Se mantiene</t>
        </is>
      </c>
    </row>
    <row r="96" spans="1:8">
      <c r="A96" t="inlineStr">
        <is>
          <t xml:space="preserve">BESS - Parque Hibrido Pampas</t>
        </is>
      </c>
      <c r="B96" t="inlineStr">
        <is>
          <t xml:space="preserve">AES Andes</t>
        </is>
      </c>
      <c r="C96">
        <v>340</v>
      </c>
      <c r="D96">
        <v>1360</v>
      </c>
      <c r="E96" t="inlineStr">
        <is>
          <t xml:space="preserve">En construccion (sept-26)</t>
        </is>
      </c>
      <c r="F96" t="inlineStr">
        <is>
          <t xml:space="preserve">Se mantiene</t>
        </is>
      </c>
    </row>
    <row r="97" spans="1:8">
      <c r="A97" t="inlineStr">
        <is>
          <t xml:space="preserve">BESS Tarapaca</t>
        </is>
      </c>
      <c r="B97" t="inlineStr">
        <is>
          <t xml:space="preserve">FRV</t>
        </is>
      </c>
      <c r="C97">
        <v>336</v>
      </c>
      <c r="D97">
        <v>1344</v>
      </c>
      <c r="E97" t="inlineStr">
        <is>
          <t xml:space="preserve">En construccion (mar-27)</t>
        </is>
      </c>
      <c r="F97" t="inlineStr">
        <is>
          <t xml:space="preserve">Se mantiene</t>
        </is>
      </c>
    </row>
    <row r="98" spans="1:8">
      <c r="A98" t="inlineStr">
        <is>
          <t xml:space="preserve">BESS DUNE</t>
        </is>
      </c>
      <c r="B98" t="inlineStr">
        <is>
          <t xml:space="preserve">Generadora Metropolitana</t>
        </is>
      </c>
      <c r="C98">
        <v>306</v>
      </c>
      <c r="D98">
        <v>1334</v>
      </c>
      <c r="E98" t="inlineStr">
        <is>
          <t xml:space="preserve">En construccion (mar-27)</t>
        </is>
      </c>
      <c r="F98" t="inlineStr">
        <is>
          <t xml:space="preserve">Se mantiene</t>
        </is>
      </c>
    </row>
    <row r="99" spans="1:8">
      <c r="A99" t="inlineStr">
        <is>
          <t xml:space="preserve">BESS - PFV Algarrobal 200 MW</t>
        </is>
      </c>
      <c r="B99" t="inlineStr">
        <is>
          <t xml:space="preserve">Grenergy</t>
        </is>
      </c>
      <c r="C99">
        <v>200</v>
      </c>
      <c r="D99">
        <v>1300</v>
      </c>
      <c r="E99" t="inlineStr">
        <is>
          <t xml:space="preserve">En construccion (ene-27)</t>
        </is>
      </c>
      <c r="F99" t="inlineStr">
        <is>
          <t xml:space="preserve">Se mantiene</t>
        </is>
      </c>
    </row>
    <row r="100" spans="1:8">
      <c r="A100" t="inlineStr">
        <is>
          <t xml:space="preserve">BESS PFV Malgarida II</t>
        </is>
      </c>
      <c r="B100" t="inlineStr">
        <is>
          <t xml:space="preserve">Acciona</t>
        </is>
      </c>
      <c r="C100">
        <v>200</v>
      </c>
      <c r="D100">
        <v>1000</v>
      </c>
      <c r="E100" t="inlineStr">
        <is>
          <t xml:space="preserve">En construccion (abr-27)</t>
        </is>
      </c>
      <c r="F100" t="inlineStr">
        <is>
          <t xml:space="preserve">Se mantiene</t>
        </is>
      </c>
    </row>
    <row r="101" spans="1:8">
      <c r="A101" t="inlineStr">
        <is>
          <t xml:space="preserve">BESS - Gabriela Solar</t>
        </is>
      </c>
      <c r="B101" t="inlineStr">
        <is>
          <t xml:space="preserve">Grenergy</t>
        </is>
      </c>
      <c r="C101">
        <v>220</v>
      </c>
      <c r="D101">
        <v>1100</v>
      </c>
      <c r="E101" t="inlineStr">
        <is>
          <t xml:space="preserve">En operacion desde ago-2026</t>
        </is>
      </c>
      <c r="F101" t="inlineStr">
        <is>
          <t xml:space="preserve">BAJA: entro en operacion (Min. Energia ago-26, Tabla 2)</t>
        </is>
      </c>
    </row>
    <row r="103" spans="1:8">
      <c r="B103" t="inlineStr">
        <is>
          <t xml:space="preserve">Fabricante de estos proyectos: solo BESS Elena Fase I tiene atribucion publica confirmada (BYD). Los otros 7 no.</t>
        </is>
      </c>
    </row>
    <row r="104" spans="1:8">
      <c r="B104" t="inlineStr">
        <is>
          <t xml:space="preserve">Umbral aplicado: &gt;= ~1000 MWh. Quedan fuera por poco BESS Monte Aguila (Grenergy, 240 MW / 960 MWh) y</t>
        </is>
      </c>
    </row>
    <row r="105" spans="1:8">
      <c r="B105" t="inlineStr">
        <is>
          <t xml:space="preserve">BESS Copiapo Solar (Atlas, 233 MW / 932 MWh).</t>
        </is>
      </c>
    </row>
    <row r="106" spans="1:8">
      <c r="B106" t="inlineStr">
        <is>
          <t xml:space="preserve">A vigilar (aprobados ambientalmente en ago-26, aun sin construccion): BESS Imilac (FPG, 360 MW / 1.800 MWh) y</t>
        </is>
      </c>
    </row>
    <row r="107" spans="1:8">
      <c r="B107" t="inlineStr">
        <is>
          <t xml:space="preserve">GAIA BESS (GAIA Chile, 200 MW / 1.163 MWh) - Min. Energia ago-26, Tabla 12.</t>
        </is>
      </c>
    </row>
    <row r="109" spans="1:8">
      <c r="A109" t="inlineStr">
        <is>
          <t xml:space="preserve">BITACORA DE CORRIDAS</t>
        </is>
      </c>
    </row>
    <row r="110" spans="1:8">
      <c r="A110" t="inlineStr">
        <is>
          <t xml:space="preserve">Corrida</t>
        </is>
      </c>
      <c r="B110" t="inlineStr">
        <is>
          <t xml:space="preserve">Universo base instalada</t>
        </is>
      </c>
      <c r="C110" t="inlineStr">
        <is>
          <t xml:space="preserve">Cobertura MW (Alta)</t>
        </is>
      </c>
      <c r="D110" t="inlineStr">
        <is>
          <t xml:space="preserve">Cobertura MW (Alta+Media)</t>
        </is>
      </c>
      <c r="E110" t="inlineStr">
        <is>
          <t xml:space="preserve">Novedades de atribucion</t>
        </is>
      </c>
    </row>
    <row r="111" spans="1:8">
      <c r="A111" t="inlineStr">
        <is>
          <t xml:space="preserve">2026-08-27</t>
        </is>
      </c>
      <c r="B111" t="inlineStr">
        <is>
          <t xml:space="preserve">ACERA jul-26: 2.655 MW / 11.250 MWh</t>
        </is>
      </c>
      <c r="C111">
        <v>0.118</v>
      </c>
      <c r="D111">
        <v>0.17</v>
      </c>
      <c r="E111" t="inlineStr">
        <is>
          <t xml:space="preserve">Construccion inicial de la hoja: 4 proyectos atribuidos, 19 excluidos.</t>
        </is>
      </c>
    </row>
    <row r="112" spans="1:8">
      <c r="A112" t="inlineStr">
        <is>
          <t xml:space="preserve">2026-09-10</t>
        </is>
      </c>
      <c r="B112" t="inlineStr">
        <is>
          <t xml:space="preserve">ACERA jul-26: 2.655 MW / 11.250 MWh (sin cambio)</t>
        </is>
      </c>
      <c r="C112">
        <v>0.118</v>
      </c>
      <c r="D112">
        <v>0.17</v>
      </c>
      <c r="E112" t="inlineStr">
        <is>
          <t xml:space="preserve">Se repitio la busqueda amplia: NINGUNA atribucion nueva confirmada.</t>
        </is>
      </c>
    </row>
    <row r="113" spans="1:8">
      <c r="A113" t="inlineStr">
        <is>
          <t xml:space="preserve">2026-09-10 (2a)</t>
        </is>
      </c>
      <c r="B113" t="inlineStr">
        <is>
          <t xml:space="preserve">ACERA jul-26: 2.655 MW / 11.250 MWh (sin cambio)</t>
        </is>
      </c>
      <c r="C113">
        <v>0.118</v>
      </c>
      <c r="D113">
        <v>0.17</v>
      </c>
      <c r="E113" t="inlineStr">
        <is>
          <t xml:space="preserve">Sin atribucion nueva. Se incorpora la lista de Main future projects.</t>
        </is>
      </c>
    </row>
    <row r="114" spans="1:8">
      <c r="A114" t="inlineStr">
        <is>
          <t xml:space="preserve">2026-09-24</t>
        </is>
      </c>
      <c r="B114" t="inlineStr">
        <is>
          <t xml:space="preserve">ACERA ago-26: 3.116 MW / 13.522 MWh</t>
        </is>
      </c>
      <c r="C114">
        <v>0.1</v>
      </c>
      <c r="D114">
        <v>0.145</v>
      </c>
      <c r="E114" t="inlineStr">
        <is>
          <t xml:space="preserve">NUEVA atribucion Alta: BESS Elena Fase I = BYD (MC Cube-T). No entra al share: esta En Pruebas.</t>
        </is>
      </c>
    </row>
    <row r="116" spans="1:8">
      <c r="A116" t="inlineStr">
        <is>
          <t xml:space="preserve">Nota corrida 2026-09-24</t>
        </is>
      </c>
    </row>
    <row r="117" spans="1:8">
      <c r="B117" t="inlineStr">
        <is>
          <t xml:space="preserve">Se verifico proyecto por proyecto la Tabla 2 (5 sistemas que entraron en operacion en agosto, 498 MW / 2.452 MWh):</t>
        </is>
      </c>
    </row>
    <row r="118" spans="1:8">
      <c r="B118" t="inlineStr">
        <is>
          <t xml:space="preserve">ninguno de los 5 tiene fabricante publicado. Engie no divulga proveedor en Libelula / Los Loros / Arica II; para</t>
        </is>
      </c>
    </row>
    <row r="119" spans="1:8">
      <c r="B119" t="inlineStr">
        <is>
          <t xml:space="preserve">Gabriela (Grenergy) la prensa cita 'BYD y CATL' como proveedores de fases del complejo Oasis de Atacama sin</t>
        </is>
      </c>
    </row>
    <row r="120" spans="1:8">
      <c r="B120" t="inlineStr">
        <is>
          <t xml:space="preserve">atribuir cual corresponde a esta fase, por lo que NO se le asigna fabricante (regla 2).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BESS</vt:lpstr>
      <vt:lpstr>Energy Matrix</vt:lpstr>
      <vt:lpstr>Market Share 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2026-08-19T20:49:34Z</dcterms:modified>
</cp:coreProperties>
</file>