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<sst xmlns="http://schemas.openxmlformats.org/spreadsheetml/2006/main" count="130" uniqueCount="44">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</sst>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>
        <v>2625</v>
      </c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>
        <v>3183</v>
      </c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>
        <f>+(4268+705)</f>
        <v>4973.0</v>
      </c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2026-09-10 (2a corrida del dia, con PDFs del repo)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Julio-26, Tabla 6: BESS En Operacion = 2.655 MW / 11.250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Coordinador Electrico Nacional (Informes Mensuales Jul-26 y Ago-26) + ACERA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fabricantes, casos de estudio)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A10" t="inlineStr">
        <is>
          <t xml:space="preserve"/>
        </is>
      </c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Operacion) y los contratos anunciados se contabilizan por separado: un contrato firmado</t>
        </is>
      </c>
    </row>
    <row r="12" spans="1:8">
      <c r="A12" t="inlineStr">
        <is>
          <t xml:space="preserve"/>
        </is>
      </c>
      <c r="B12" t="inlineStr">
        <is>
          <t xml:space="preserve">todavia no es capacidad instalada y no puede entrar en un share de base instalada.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es demasiado baja para publicar un % de participacion</t>
        </is>
      </c>
    </row>
    <row r="14" spans="1:8">
      <c r="A14" t="inlineStr">
        <is>
          <t xml:space="preserve"/>
        </is>
      </c>
      <c r="B14" t="inlineStr">
        <is>
          <t xml:space="preserve">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CONTRATOS ANUNCIADOS (NO son base instalada - excluidos del share)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Observatorio (PV+BESS)</t>
        </is>
      </c>
      <c r="B25" t="inlineStr">
        <is>
          <t xml:space="preserve">Verano Energy</t>
        </is>
      </c>
      <c r="C25">
        <v>152</v>
      </c>
      <c r="D25">
        <v>606</v>
      </c>
      <c r="E25" t="inlineStr">
        <is>
          <t xml:space="preserve">Contrato anunciado (ago-2026)</t>
        </is>
      </c>
      <c r="F25" t="inlineStr">
        <is>
          <t xml:space="preserve">Sungrow (PowerTitan 2)</t>
        </is>
      </c>
      <c r="G25" t="inlineStr">
        <is>
          <t xml:space="preserve">Alta</t>
        </is>
      </c>
      <c r="H25" t="inlineStr">
        <is>
          <t xml:space="preserve">ess-news.com 12-08-2026</t>
        </is>
      </c>
    </row>
    <row r="26" spans="1:8">
      <c r="A26" t="inlineStr">
        <is>
          <t xml:space="preserve">Complejo PV+BESS BHP</t>
        </is>
      </c>
      <c r="B26" t="inlineStr">
        <is>
          <t xml:space="preserve">BHP</t>
        </is>
      </c>
      <c r="C26" t="inlineStr">
        <is>
          <t xml:space="preserve">n/d</t>
        </is>
      </c>
      <c r="D26">
        <v>960</v>
      </c>
      <c r="E26" t="inlineStr">
        <is>
          <t xml:space="preserve">Contrato anunciado (jul-2026)</t>
        </is>
      </c>
      <c r="F26" t="inlineStr">
        <is>
          <t xml:space="preserve">Sungrow</t>
        </is>
      </c>
      <c r="G26" t="inlineStr">
        <is>
          <t xml:space="preserve">Media</t>
        </is>
      </c>
      <c r="H26" t="inlineStr">
        <is>
          <t xml:space="preserve">Prensa sectorial 07-2026</t>
        </is>
      </c>
    </row>
    <row r="28" spans="1:8">
      <c r="A28" t="inlineStr">
        <is>
          <t xml:space="preserve">3. COBERTURA DE LA MUESTRA SOBRE LA BASE INSTALADA</t>
        </is>
      </c>
    </row>
    <row r="29" spans="1:8">
      <c r="A29" t="inlineStr">
        <is>
          <t xml:space="preserve">Criterio</t>
        </is>
      </c>
      <c r="B29" t="inlineStr">
        <is>
          <t xml:space="preserve">MW atribuidos</t>
        </is>
      </c>
      <c r="C29" t="inlineStr">
        <is>
          <t xml:space="preserve">MW universo</t>
        </is>
      </c>
      <c r="D29" t="inlineStr">
        <is>
          <t xml:space="preserve">Cobertura MW</t>
        </is>
      </c>
      <c r="E29" t="inlineStr">
        <is>
          <t xml:space="preserve">MWh atribuidos</t>
        </is>
      </c>
      <c r="F29" t="inlineStr">
        <is>
          <t xml:space="preserve">MWh universo</t>
        </is>
      </c>
      <c r="G29" t="inlineStr">
        <is>
          <t xml:space="preserve">Cobertura MWh</t>
        </is>
      </c>
    </row>
    <row r="30" spans="1:8">
      <c r="A30" t="inlineStr">
        <is>
          <t xml:space="preserve">Solo confianza Alta</t>
        </is>
      </c>
      <c r="B30">
        <v>312</v>
      </c>
      <c r="C30">
        <v>2655</v>
      </c>
      <c r="D30">
        <v>0.11751412429378531</v>
      </c>
      <c r="E30">
        <v>1557</v>
      </c>
      <c r="F30">
        <v>11250</v>
      </c>
      <c r="G30">
        <v>0.1384</v>
      </c>
    </row>
    <row r="31" spans="1:8">
      <c r="A31" t="inlineStr">
        <is>
          <t xml:space="preserve">Alta + Media</t>
        </is>
      </c>
      <c r="B31">
        <v>451</v>
      </c>
      <c r="C31">
        <v>2655</v>
      </c>
      <c r="D31">
        <v>0.16986817325800377</v>
      </c>
      <c r="E31">
        <v>2195</v>
      </c>
      <c r="F31">
        <v>11250</v>
      </c>
      <c r="G31">
        <v>0.19511111111111112</v>
      </c>
    </row>
    <row r="32" spans="1:8">
      <c r="A32" t="inlineStr">
        <is>
          <t xml:space="preserve">Nota</t>
        </is>
      </c>
      <c r="B32" t="inlineStr">
        <is>
          <t xml:space="preserve">Virtual Reservoir II aporta MWh pero su MW no esta confirmado; no suma a los MW atribuidos.</t>
        </is>
      </c>
    </row>
    <row r="34" spans="1:8">
      <c r="A34" t="inlineStr">
        <is>
          <t xml:space="preserve">4. CONCLUSION</t>
        </is>
      </c>
    </row>
    <row r="35" spans="1:8">
      <c r="A35" t="inlineStr">
        <is>
          <t xml:space="preserve"/>
        </is>
      </c>
      <c r="B35" t="inlineStr">
        <is>
          <t xml:space="preserve">Con cobertura de 12%-17% de los MW instalados (14%-20% de los MWh), cualquier reparto porcentual entre</t>
        </is>
      </c>
    </row>
    <row r="36" spans="1:8">
      <c r="A36" t="inlineStr">
        <is>
          <t xml:space="preserve"/>
        </is>
      </c>
      <c r="B36" t="inlineStr">
        <is>
          <t xml:space="preserve">fabricantes estaria determinado por los proyectos SIN atribucion, no por los atribuidos. Publicar un share</t>
        </is>
      </c>
    </row>
    <row r="37" spans="1:8">
      <c r="A37" t="inlineStr">
        <is>
          <t xml:space="preserve"/>
        </is>
      </c>
      <c r="B37" t="inlineStr">
        <is>
          <t xml:space="preserve">con esta base seria dar una precision que la metodologia no sostiene, lo que la regla del repo prohibe.</t>
        </is>
      </c>
    </row>
    <row r="38" spans="1:8">
      <c r="A38" t="inlineStr">
        <is>
          <t xml:space="preserve"/>
        </is>
      </c>
      <c r="B38" t="inlineStr">
        <is>
          <t xml:space="preserve">Lectura cualitativa admisible: entre los proyectos con fabricante confirmado publicamente, Sungrow y Fluence</t>
        </is>
      </c>
    </row>
    <row r="39" spans="1:8">
      <c r="A39" t="inlineStr">
        <is>
          <t xml:space="preserve"/>
        </is>
      </c>
      <c r="B39" t="inlineStr">
        <is>
          <t xml:space="preserve">son los dos nombres recurrentes. NO se debe leer como que lideran el mercado chileno: es lo que se puede ver,</t>
        </is>
      </c>
    </row>
    <row r="40" spans="1:8">
      <c r="A40" t="inlineStr">
        <is>
          <t xml:space="preserve"/>
        </is>
      </c>
      <c r="B40" t="inlineStr">
        <is>
          <t xml:space="preserve">no lo que hay. BYD, CATL, Tesla, Warthsila, Trina, Huawei y e-STORAGE no aparecen con atribucion publica</t>
        </is>
      </c>
    </row>
    <row r="41" spans="1:8">
      <c r="A41" t="inlineStr">
        <is>
          <t xml:space="preserve"/>
        </is>
      </c>
      <c r="B41" t="inlineStr">
        <is>
          <t xml:space="preserve">confirmada en proyectos chilenos en operacion en esta corrida; su ausencia aqui NO significa ausencia del mercado.</t>
        </is>
      </c>
    </row>
    <row r="43" spans="1:8">
      <c r="A43" t="inlineStr">
        <is>
          <t xml:space="preserve">5. PROYECTOS EXCLUIDOS (sin fabricante confirmado publicamente)</t>
        </is>
      </c>
    </row>
    <row r="44" spans="1:8">
      <c r="A44" t="inlineStr">
        <is>
          <t xml:space="preserve">Proyecto</t>
        </is>
      </c>
      <c r="B44" t="inlineStr">
        <is>
          <t xml:space="preserve">Propietario / Desarrollador</t>
        </is>
      </c>
      <c r="C44" t="inlineStr">
        <is>
          <t xml:space="preserve">MW</t>
        </is>
      </c>
      <c r="D44" t="inlineStr">
        <is>
          <t xml:space="preserve">Estado</t>
        </is>
      </c>
    </row>
    <row r="45" spans="1:8">
      <c r="A45" t="inlineStr">
        <is>
          <t xml:space="preserve">BESS Elena</t>
        </is>
      </c>
      <c r="B45" t="inlineStr">
        <is>
          <t xml:space="preserve">Solar Elena SpA</t>
        </is>
      </c>
      <c r="C45">
        <v>485</v>
      </c>
      <c r="D45" t="inlineStr">
        <is>
          <t xml:space="preserve">En pruebas</t>
        </is>
      </c>
    </row>
    <row r="46" spans="1:8">
      <c r="A46" t="inlineStr">
        <is>
          <t xml:space="preserve">BESS Arenales</t>
        </is>
      </c>
      <c r="B46" t="inlineStr">
        <is>
          <t xml:space="preserve">Punta del Sol SpA</t>
        </is>
      </c>
      <c r="C46">
        <v>300</v>
      </c>
      <c r="D46" t="inlineStr">
        <is>
          <t xml:space="preserve">En pruebas</t>
        </is>
      </c>
    </row>
    <row r="47" spans="1:8">
      <c r="A47" t="inlineStr">
        <is>
          <t xml:space="preserve">Arena BESS CI GMF II</t>
        </is>
      </c>
      <c r="B47" t="inlineStr">
        <is>
          <t xml:space="preserve">GMF II Arena ProjectCo SpA</t>
        </is>
      </c>
      <c r="C47">
        <v>220</v>
      </c>
      <c r="D47" t="inlineStr">
        <is>
          <t xml:space="preserve">Entregada a operacion (jun-2026)</t>
        </is>
      </c>
    </row>
    <row r="48" spans="1:8">
      <c r="A48" t="inlineStr">
        <is>
          <t xml:space="preserve">PFV Gabriela + BESS (E1 y E2)</t>
        </is>
      </c>
      <c r="B48" t="inlineStr">
        <is>
          <t xml:space="preserve">GR Lenga SpA</t>
        </is>
      </c>
      <c r="C48">
        <v>220</v>
      </c>
      <c r="D48" t="inlineStr">
        <is>
          <t xml:space="preserve">En pruebas</t>
        </is>
      </c>
    </row>
    <row r="49" spans="1:8">
      <c r="A49" t="inlineStr">
        <is>
          <t xml:space="preserve">BESS Libelula</t>
        </is>
      </c>
      <c r="B49" t="inlineStr">
        <is>
          <t xml:space="preserve">Engie Energia Chile S.A.</t>
        </is>
      </c>
      <c r="C49">
        <v>199.2</v>
      </c>
      <c r="D49" t="inlineStr">
        <is>
          <t xml:space="preserve">En pruebas</t>
        </is>
      </c>
    </row>
    <row r="50" spans="1:8">
      <c r="A50" t="inlineStr">
        <is>
          <t xml:space="preserve">BESS Estepa Solar</t>
        </is>
      </c>
      <c r="B50" t="inlineStr">
        <is>
          <t xml:space="preserve">Estepa Solar SpA</t>
        </is>
      </c>
      <c r="C50">
        <v>188</v>
      </c>
      <c r="D50" t="inlineStr">
        <is>
          <t xml:space="preserve">En pruebas</t>
        </is>
      </c>
    </row>
    <row r="51" spans="1:8">
      <c r="A51" t="inlineStr">
        <is>
          <t xml:space="preserve">Bolero BESS</t>
        </is>
      </c>
      <c r="B51" t="inlineStr">
        <is>
          <t xml:space="preserve">AES Andes</t>
        </is>
      </c>
      <c r="C51">
        <v>146</v>
      </c>
      <c r="D51" t="inlineStr">
        <is>
          <t xml:space="preserve">En operacion (ago-2026)</t>
        </is>
      </c>
    </row>
    <row r="52" spans="1:8">
      <c r="A52" t="inlineStr">
        <is>
          <t xml:space="preserve">Andes Solar IV (BESS)</t>
        </is>
      </c>
      <c r="B52" t="inlineStr">
        <is>
          <t xml:space="preserve">AES Andes</t>
        </is>
      </c>
      <c r="C52">
        <v>130</v>
      </c>
      <c r="D52" t="inlineStr">
        <is>
          <t xml:space="preserve">En operacion</t>
        </is>
      </c>
    </row>
    <row r="53" spans="1:8">
      <c r="A53" t="inlineStr">
        <is>
          <t xml:space="preserve">BESS Tamarico</t>
        </is>
      </c>
      <c r="B53" t="inlineStr">
        <is>
          <t xml:space="preserve">Tamarico Solar Dos SpA</t>
        </is>
      </c>
      <c r="C53">
        <v>90</v>
      </c>
      <c r="D53" t="inlineStr">
        <is>
          <t xml:space="preserve">En pruebas</t>
        </is>
      </c>
    </row>
    <row r="54" spans="1:8">
      <c r="A54" t="inlineStr">
        <is>
          <t xml:space="preserve">BESS Sol de Los Andes</t>
        </is>
      </c>
      <c r="B54" t="inlineStr">
        <is>
          <t xml:space="preserve">Sol de Los Andes SpA</t>
        </is>
      </c>
      <c r="C54">
        <v>89.71</v>
      </c>
      <c r="D54" t="inlineStr">
        <is>
          <t xml:space="preserve">En pruebas</t>
        </is>
      </c>
    </row>
    <row r="55" spans="1:8">
      <c r="A55" t="inlineStr">
        <is>
          <t xml:space="preserve">BESS Dona Antonia</t>
        </is>
      </c>
      <c r="B55" t="inlineStr">
        <is>
          <t xml:space="preserve">Dona Antonia Solar SpA</t>
        </is>
      </c>
      <c r="C55">
        <v>47</v>
      </c>
      <c r="D55" t="inlineStr">
        <is>
          <t xml:space="preserve">En pruebas</t>
        </is>
      </c>
    </row>
    <row r="56" spans="1:8">
      <c r="A56" t="inlineStr">
        <is>
          <t xml:space="preserve">BESS Los Loros</t>
        </is>
      </c>
      <c r="B56" t="inlineStr">
        <is>
          <t xml:space="preserve">Engie Energia Chile S.A.</t>
        </is>
      </c>
      <c r="C56">
        <v>46</v>
      </c>
      <c r="D56" t="inlineStr">
        <is>
          <t xml:space="preserve">En pruebas (LFP, fabricante no divulgado)</t>
        </is>
      </c>
    </row>
    <row r="57" spans="1:8">
      <c r="A57" t="inlineStr">
        <is>
          <t xml:space="preserve">Ampliacion BESS Alfalfal</t>
        </is>
      </c>
      <c r="B57" t="inlineStr">
        <is>
          <t xml:space="preserve">AES Andes S.A.</t>
        </is>
      </c>
      <c r="C57">
        <v>34.9</v>
      </c>
      <c r="D57" t="inlineStr">
        <is>
          <t xml:space="preserve">En pruebas</t>
        </is>
      </c>
    </row>
    <row r="58" spans="1:8">
      <c r="A58" t="inlineStr">
        <is>
          <t xml:space="preserve">BESS Parque Eolico La Cabana</t>
        </is>
      </c>
      <c r="B58" t="inlineStr">
        <is>
          <t xml:space="preserve">Enel Green Power Chile S.A.</t>
        </is>
      </c>
      <c r="C58">
        <v>32</v>
      </c>
      <c r="D58" t="inlineStr">
        <is>
          <t xml:space="preserve">En pruebas</t>
        </is>
      </c>
    </row>
    <row r="59" spans="1:8">
      <c r="A59" t="inlineStr">
        <is>
          <t xml:space="preserve">BESS Arica II</t>
        </is>
      </c>
      <c r="B59" t="inlineStr">
        <is>
          <t xml:space="preserve">Engie Energia Chile S.A.</t>
        </is>
      </c>
      <c r="C59">
        <v>30</v>
      </c>
      <c r="D59" t="inlineStr">
        <is>
          <t xml:space="preserve">Entregada a operacion (jun-2026)</t>
        </is>
      </c>
    </row>
    <row r="60" spans="1:8">
      <c r="A60" t="inlineStr">
        <is>
          <t xml:space="preserve">BESS II Salvador</t>
        </is>
      </c>
      <c r="B60" t="inlineStr">
        <is>
          <t xml:space="preserve">BESS Salvador SpA</t>
        </is>
      </c>
      <c r="C60">
        <v>20</v>
      </c>
      <c r="D60" t="inlineStr">
        <is>
          <t xml:space="preserve">En pruebas</t>
        </is>
      </c>
    </row>
    <row r="61" spans="1:8">
      <c r="A61" t="inlineStr">
        <is>
          <t xml:space="preserve">BESS Santa Marta</t>
        </is>
      </c>
      <c r="B61" t="inlineStr">
        <is>
          <t xml:space="preserve">Consorcio Santa Marta S.A.</t>
        </is>
      </c>
      <c r="C61">
        <v>10</v>
      </c>
      <c r="D61" t="inlineStr">
        <is>
          <t xml:space="preserve">En pruebas</t>
        </is>
      </c>
    </row>
    <row r="62" spans="1:8">
      <c r="A62" t="inlineStr">
        <is>
          <t xml:space="preserve">PMGD Las Tres Marias (BESS)</t>
        </is>
      </c>
      <c r="B62" t="inlineStr">
        <is>
          <t xml:space="preserve">PSF Los Quilos SpA</t>
        </is>
      </c>
      <c r="C62">
        <v>9</v>
      </c>
      <c r="D62" t="inlineStr">
        <is>
          <t xml:space="preserve">En pruebas</t>
        </is>
      </c>
    </row>
    <row r="63" spans="1:8">
      <c r="A63" t="inlineStr">
        <is>
          <t xml:space="preserve">BESS Lota II</t>
        </is>
      </c>
      <c r="B63" t="inlineStr">
        <is>
          <t xml:space="preserve">Tedlar Marte SpA</t>
        </is>
      </c>
      <c r="C63">
        <v>2.35</v>
      </c>
      <c r="D63" t="inlineStr">
        <is>
          <t xml:space="preserve">En pruebas</t>
        </is>
      </c>
    </row>
    <row r="65" spans="1:8">
      <c r="A65" t="inlineStr">
        <is>
          <t xml:space="preserve">Para elevar la cobertura en proximas corridas: licitaciones adjudicadas (CEN/CNE), memorias anuales de los</t>
        </is>
      </c>
    </row>
    <row r="66" spans="1:8">
      <c r="A66" t="inlineStr">
        <is>
          <t xml:space="preserve">desarrolladores, y comunicados de los propios fabricantes son las vias con mayor tasa de atribucion confirmada.</t>
        </is>
      </c>
    </row>
    <row r="68" spans="1:8">
      <c r="A68" t="inlineStr">
        <is>
          <t xml:space="preserve">BITACORA DE CORRIDAS</t>
        </is>
      </c>
    </row>
    <row r="69" spans="1:8">
      <c r="A69" t="inlineStr">
        <is>
          <t xml:space="preserve">Corrida</t>
        </is>
      </c>
      <c r="B69" t="inlineStr">
        <is>
          <t xml:space="preserve">Universo base instalada</t>
        </is>
      </c>
      <c r="C69" t="inlineStr">
        <is>
          <t xml:space="preserve">Cobertura MW (Alta)</t>
        </is>
      </c>
      <c r="D69" t="inlineStr">
        <is>
          <t xml:space="preserve">Cobertura MW (Alta+Media)</t>
        </is>
      </c>
      <c r="E69" t="inlineStr">
        <is>
          <t xml:space="preserve">Novedades de atribucion</t>
        </is>
      </c>
    </row>
    <row r="70" spans="1:8">
      <c r="A70" t="inlineStr">
        <is>
          <t xml:space="preserve">2026-08-27</t>
        </is>
      </c>
      <c r="B70" t="inlineStr">
        <is>
          <t xml:space="preserve">ACERA jul-26: 2.655 MW / 11.250 MWh</t>
        </is>
      </c>
      <c r="C70">
        <v>0.118</v>
      </c>
      <c r="D70">
        <v>0.17</v>
      </c>
      <c r="E70" t="inlineStr">
        <is>
          <t xml:space="preserve">Construccion inicial de la hoja: 4 proyectos atribuidos, 19 excluidos.</t>
        </is>
      </c>
    </row>
    <row r="71" spans="1:8">
      <c r="A71" t="inlineStr">
        <is>
          <t xml:space="preserve">2026-09-10</t>
        </is>
      </c>
      <c r="B71" t="inlineStr">
        <is>
          <t xml:space="preserve">ACERA jul-26: 2.655 MW / 11.250 MWh (sin cambio: ACERA no publico agosto)</t>
        </is>
      </c>
      <c r="C71">
        <v>0.118</v>
      </c>
      <c r="D71">
        <v>0.17</v>
      </c>
      <c r="E71" t="inlineStr">
        <is>
          <t xml:space="preserve">Se repitio la busqueda amplia de fabricantes: NINGUNA atribucion nueva confirmada. Cobertura sin cambios.</t>
        </is>
      </c>
    </row>
    <row r="73" spans="1:8">
      <c r="A73" t="inlineStr">
        <is>
          <t xml:space="preserve">Nota corrida 2026-09-10</t>
        </is>
      </c>
    </row>
    <row r="74" spans="1:8">
      <c r="A74" t="inlineStr">
        <is>
          <t xml:space="preserve"/>
        </is>
      </c>
      <c r="B74" t="inlineStr">
        <is>
          <t xml:space="preserve">Se revisaron fuentes secundarias que citan cifras de BESS en Chile a agosto-26 (p.ej. OLADE: 2.291 MW en</t>
        </is>
      </c>
    </row>
    <row r="75" spans="1:8">
      <c r="A75" t="inlineStr">
        <is>
          <t xml:space="preserve"/>
        </is>
      </c>
      <c r="B75" t="inlineStr">
        <is>
          <t xml:space="preserve">operacion; prensa sectorial: 'Chile supera los 2.200 MW'). NO se incorporaron: usan universos y criterios</t>
        </is>
      </c>
    </row>
    <row r="76" spans="1:8">
      <c r="A76" t="inlineStr">
        <is>
          <t xml:space="preserve"/>
        </is>
      </c>
      <c r="B76" t="inlineStr">
        <is>
          <t xml:space="preserve">distintos a los de ACERA (stand-alone vs hibridos) y mezclarlas con la base ACERA romperia la comparabilidad</t>
        </is>
      </c>
    </row>
    <row r="77" spans="1:8">
      <c r="A77" t="inlineStr">
        <is>
          <t xml:space="preserve"/>
        </is>
      </c>
      <c r="B77" t="inlineStr">
        <is>
          <t xml:space="preserve">de la serie. Se dejan anotadas solo como contexto.</t>
        </is>
      </c>
    </row>
    <row r="78" spans="1:8">
      <c r="A78" t="inlineStr">
        <is>
          <t xml:space="preserve"/>
        </is>
      </c>
      <c r="B78" t="inlineStr">
        <is>
          <t xml:space="preserve">Sigue sin publicarse un % de market share, por el mismo motivo que en la corrida anterior: cobertura insuficiente.</t>
        </is>
      </c>
    </row>
    <row r="80" spans="1:8">
      <c r="A80" t="inlineStr">
        <is>
          <t xml:space="preserve">2026-09-10 (2a)</t>
        </is>
      </c>
      <c r="B80" t="inlineStr">
        <is>
          <t xml:space="preserve">ACERA jul-26: 2.655 MW / 11.250 MWh (sin cambio)</t>
        </is>
      </c>
      <c r="C80">
        <v>0.118</v>
      </c>
      <c r="D80">
        <v>0.17</v>
      </c>
      <c r="E80" t="inlineStr">
        <is>
          <t xml:space="preserve">Sin atribucion nueva. Se incorporan los PDFs del repo: se agrega la lista de Main future projects.</t>
        </is>
      </c>
    </row>
    <row r="82" spans="1:8">
      <c r="A82" t="inlineStr">
        <is>
          <t xml:space="preserve">MAIN FUTURE PROJECTS (&gt;= ~1000 MWh)</t>
        </is>
      </c>
    </row>
    <row r="83" spans="1:8">
      <c r="A83" t="inlineStr">
        <is>
          <t xml:space="preserve">Fuente: Ministerio de Energia, Reporte de Proyectos julio 2026 (/MIN ENERGIA/), Tablas 4 y 6.</t>
        </is>
      </c>
    </row>
    <row r="84" spans="1:8">
      <c r="A84" t="inlineStr">
        <is>
          <t xml:space="preserve">Proyecto</t>
        </is>
      </c>
      <c r="B84" t="inlineStr">
        <is>
          <t xml:space="preserve">Titular</t>
        </is>
      </c>
      <c r="C84" t="inlineStr">
        <is>
          <t xml:space="preserve">MW</t>
        </is>
      </c>
      <c r="D84" t="inlineStr">
        <is>
          <t xml:space="preserve">MWh</t>
        </is>
      </c>
      <c r="E84" t="inlineStr">
        <is>
          <t xml:space="preserve">Etapa</t>
        </is>
      </c>
      <c r="F84" t="inlineStr">
        <is>
          <t xml:space="preserve">Movimiento</t>
        </is>
      </c>
    </row>
    <row r="85" spans="1:8">
      <c r="A85" t="inlineStr">
        <is>
          <t xml:space="preserve">BESS Elena Fase I</t>
        </is>
      </c>
      <c r="B85" t="inlineStr">
        <is>
          <t xml:space="preserve">Grenergy</t>
        </is>
      </c>
      <c r="C85">
        <v>430</v>
      </c>
      <c r="D85">
        <v>3010</v>
      </c>
      <c r="E85" t="inlineStr">
        <is>
          <t xml:space="preserve">En pruebas</t>
        </is>
      </c>
      <c r="F85" t="inlineStr">
        <is>
          <t xml:space="preserve">ALTA (primera carga de la lista)</t>
        </is>
      </c>
    </row>
    <row r="86" spans="1:8">
      <c r="A86" t="inlineStr">
        <is>
          <t xml:space="preserve">Sandstone BESS IV (Ex-Patache BESS)</t>
        </is>
      </c>
      <c r="B86" t="inlineStr">
        <is>
          <t xml:space="preserve">Copenhagen Infrastructure Partners</t>
        </is>
      </c>
      <c r="C86">
        <v>300</v>
      </c>
      <c r="D86">
        <v>1500</v>
      </c>
      <c r="E86" t="inlineStr">
        <is>
          <t xml:space="preserve">En construccion</t>
        </is>
      </c>
      <c r="F86" t="inlineStr">
        <is>
          <t xml:space="preserve">ALTA (primera carga de la lista)</t>
        </is>
      </c>
    </row>
    <row r="87" spans="1:8">
      <c r="A87" t="inlineStr">
        <is>
          <t xml:space="preserve">BESS - Parque Fotovoltaico Cristales</t>
        </is>
      </c>
      <c r="B87" t="inlineStr">
        <is>
          <t xml:space="preserve">AES Andes</t>
        </is>
      </c>
      <c r="C87">
        <v>340</v>
      </c>
      <c r="D87">
        <v>1360</v>
      </c>
      <c r="E87" t="inlineStr">
        <is>
          <t xml:space="preserve">En pruebas</t>
        </is>
      </c>
      <c r="F87" t="inlineStr">
        <is>
          <t xml:space="preserve">ALTA (primera carga de la lista)</t>
        </is>
      </c>
    </row>
    <row r="88" spans="1:8">
      <c r="A88" t="inlineStr">
        <is>
          <t xml:space="preserve">BESS - Parque Hibrido Pampas</t>
        </is>
      </c>
      <c r="B88" t="inlineStr">
        <is>
          <t xml:space="preserve">AES Andes</t>
        </is>
      </c>
      <c r="C88">
        <v>340</v>
      </c>
      <c r="D88">
        <v>1360</v>
      </c>
      <c r="E88" t="inlineStr">
        <is>
          <t xml:space="preserve">En construccion</t>
        </is>
      </c>
      <c r="F88" t="inlineStr">
        <is>
          <t xml:space="preserve">ALTA (primera carga de la lista)</t>
        </is>
      </c>
    </row>
    <row r="89" spans="1:8">
      <c r="A89" t="inlineStr">
        <is>
          <t xml:space="preserve">BESS Tarapaca</t>
        </is>
      </c>
      <c r="B89" t="inlineStr">
        <is>
          <t xml:space="preserve">FRV</t>
        </is>
      </c>
      <c r="C89">
        <v>336</v>
      </c>
      <c r="D89">
        <v>1344</v>
      </c>
      <c r="E89" t="inlineStr">
        <is>
          <t xml:space="preserve">En construccion</t>
        </is>
      </c>
      <c r="F89" t="inlineStr">
        <is>
          <t xml:space="preserve">ALTA (primera carga de la lista)</t>
        </is>
      </c>
    </row>
    <row r="90" spans="1:8">
      <c r="A90" t="inlineStr">
        <is>
          <t xml:space="preserve">BESS DUNE</t>
        </is>
      </c>
      <c r="B90" t="inlineStr">
        <is>
          <t xml:space="preserve">Generadora Metropolitana</t>
        </is>
      </c>
      <c r="C90">
        <v>306</v>
      </c>
      <c r="D90">
        <v>1334</v>
      </c>
      <c r="E90" t="inlineStr">
        <is>
          <t xml:space="preserve">En construccion</t>
        </is>
      </c>
      <c r="F90" t="inlineStr">
        <is>
          <t xml:space="preserve">ALTA (primera carga de la lista)</t>
        </is>
      </c>
    </row>
    <row r="91" spans="1:8">
      <c r="A91" t="inlineStr">
        <is>
          <t xml:space="preserve">BESS - PFV Algarrobal 200 MW</t>
        </is>
      </c>
      <c r="B91" t="inlineStr">
        <is>
          <t xml:space="preserve">Grenergy</t>
        </is>
      </c>
      <c r="C91">
        <v>200</v>
      </c>
      <c r="D91">
        <v>1300</v>
      </c>
      <c r="E91" t="inlineStr">
        <is>
          <t xml:space="preserve">En construccion</t>
        </is>
      </c>
      <c r="F91" t="inlineStr">
        <is>
          <t xml:space="preserve">ALTA (primera carga de la lista)</t>
        </is>
      </c>
    </row>
    <row r="92" spans="1:8">
      <c r="A92" t="inlineStr">
        <is>
          <t xml:space="preserve">BESS - Gabriela Solar</t>
        </is>
      </c>
      <c r="B92" t="inlineStr">
        <is>
          <t xml:space="preserve">Grenergy</t>
        </is>
      </c>
      <c r="C92">
        <v>220</v>
      </c>
      <c r="D92">
        <v>1100</v>
      </c>
      <c r="E92" t="inlineStr">
        <is>
          <t xml:space="preserve">En pruebas</t>
        </is>
      </c>
      <c r="F92" t="inlineStr">
        <is>
          <t xml:space="preserve">ALTA (primera carga de la lista)</t>
        </is>
      </c>
    </row>
    <row r="93" spans="1:8">
      <c r="A93" t="inlineStr">
        <is>
          <t xml:space="preserve">BESS PFV Malgarida II</t>
        </is>
      </c>
      <c r="B93" t="inlineStr">
        <is>
          <t xml:space="preserve">Acciona</t>
        </is>
      </c>
      <c r="C93">
        <v>200</v>
      </c>
      <c r="D93">
        <v>1000</v>
      </c>
      <c r="E93" t="inlineStr">
        <is>
          <t xml:space="preserve">En construccion</t>
        </is>
      </c>
      <c r="F93" t="inlineStr">
        <is>
          <t xml:space="preserve">ALTA (primera carga de la lista)</t>
        </is>
      </c>
    </row>
    <row r="95" spans="1:8">
      <c r="A95" t="inlineStr">
        <is>
          <t xml:space="preserve"/>
        </is>
      </c>
      <c r="B95" t="inlineStr">
        <is>
          <t xml:space="preserve">Fabricante de estos proyectos: NO confirmado publicamente en ninguno de los 9. Por eso no entran</t>
        </is>
      </c>
    </row>
    <row r="96" spans="1:8">
      <c r="A96" t="inlineStr">
        <is>
          <t xml:space="preserve"/>
        </is>
      </c>
      <c r="B96" t="inlineStr">
        <is>
          <t xml:space="preserve">en el calculo de participacion; se listan como pipeline a vigilar, que es para lo que sirve la lista.</t>
        </is>
      </c>
    </row>
    <row r="97" spans="1:8">
      <c r="A97" t="inlineStr">
        <is>
          <t xml:space="preserve"/>
        </is>
      </c>
      <c r="B97" t="inlineStr">
        <is>
          <t xml:space="preserve">Umbral aplicado: &gt;= ~1000 MWh. BESS Copiapo Solar (Atlas, 233 MW / 932 MWh) queda fuera por poco.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