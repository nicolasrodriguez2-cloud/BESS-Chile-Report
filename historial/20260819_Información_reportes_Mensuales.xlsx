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<sst xmlns="http://schemas.openxmlformats.org/spreadsheetml/2006/main" count="130" uniqueCount="44">
  <si>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</si>
  <si>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</si>
  <si>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</si>
  <si>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</si>
  <si>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</si>
  <si>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</si>
  <si>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</si>
  <si>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</si>
  <si>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</si>
  <si>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</si>
  <si>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</si>
  <si>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</si>
  <si>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</si>
  <si>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</si>
  <si>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</si>
  <si>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</si>
  <si>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</si>
  <si>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</si>
  <si>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</si>
  <si>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</si>
  <si>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</si>
  <si>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</si>
  <si>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</si>
  <si>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</si>
  <si>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July 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</si>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</sst>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2</c:v>
                </c:pt>
                <c:pt idx="1">
                  <c:v>361</c:v>
                </c:pt>
                <c:pt idx="2">
                  <c:v>0</c:v>
                </c:pt>
                <c:pt idx="3">
                  <c:v>40</c:v>
                </c:pt>
                <c:pt idx="4">
                  <c:v>935</c:v>
                </c:pt>
                <c:pt idx="5">
                  <c:v>0</c:v>
                </c:pt>
                <c:pt idx="6">
                  <c:v>0</c:v>
                </c:pt>
                <c:pt idx="7">
                  <c:v>3192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653</c:v>
                </c:pt>
                <c:pt idx="14">
                  <c:v>2695</c:v>
                </c:pt>
                <c:pt idx="15">
                  <c:v>0</c:v>
                </c:pt>
                <c:pt idx="16">
                  <c:v>3744</c:v>
                </c:pt>
                <c:pt idx="17">
                  <c:v>1000</c:v>
                </c:pt>
                <c:pt idx="18">
                  <c:v>1000</c:v>
                </c:pt>
                <c:pt idx="19">
                  <c:v>242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106</c:v>
                </c:pt>
                <c:pt idx="24">
                  <c:v>36</c:v>
                </c:pt>
                <c:pt idx="25">
                  <c:v>0</c:v>
                </c:pt>
                <c:pt idx="26">
                  <c:v>36</c:v>
                </c:pt>
                <c:pt idx="27">
                  <c:v>0</c:v>
                </c:pt>
                <c:pt idx="28">
                  <c:v>15</c:v>
                </c:pt>
                <c:pt idx="29">
                  <c:v>0</c:v>
                </c:pt>
                <c:pt idx="30">
                  <c:v>24</c:v>
                </c:pt>
                <c:pt idx="31">
                  <c:v>0</c:v>
                </c:pt>
                <c:pt idx="32">
                  <c:v>616</c:v>
                </c:pt>
                <c:pt idx="33">
                  <c:v>0</c:v>
                </c:pt>
                <c:pt idx="34">
                  <c:v>840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45413</c:v>
                </c:pt>
                <c:pt idx="1">
                  <c:v>45778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47362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2</c:v>
                </c:pt>
                <c:pt idx="2">
                  <c:v>363</c:v>
                </c:pt>
                <c:pt idx="3">
                  <c:v>363</c:v>
                </c:pt>
                <c:pt idx="4">
                  <c:v>403</c:v>
                </c:pt>
                <c:pt idx="5">
                  <c:v>1338</c:v>
                </c:pt>
                <c:pt idx="6">
                  <c:v>1338</c:v>
                </c:pt>
                <c:pt idx="7">
                  <c:v>1338</c:v>
                </c:pt>
                <c:pt idx="8">
                  <c:v>4530</c:v>
                </c:pt>
                <c:pt idx="9">
                  <c:v>4785</c:v>
                </c:pt>
                <c:pt idx="10">
                  <c:v>6402</c:v>
                </c:pt>
                <c:pt idx="11">
                  <c:v>7802</c:v>
                </c:pt>
                <c:pt idx="12">
                  <c:v>10739</c:v>
                </c:pt>
                <c:pt idx="13">
                  <c:v>10846</c:v>
                </c:pt>
                <c:pt idx="14">
                  <c:v>11499</c:v>
                </c:pt>
                <c:pt idx="15">
                  <c:v>14194</c:v>
                </c:pt>
                <c:pt idx="16">
                  <c:v>14194</c:v>
                </c:pt>
                <c:pt idx="17">
                  <c:v>17938</c:v>
                </c:pt>
                <c:pt idx="18">
                  <c:v>18938</c:v>
                </c:pt>
                <c:pt idx="19">
                  <c:v>19938</c:v>
                </c:pt>
                <c:pt idx="20">
                  <c:v>20180</c:v>
                </c:pt>
                <c:pt idx="21">
                  <c:v>20205</c:v>
                </c:pt>
                <c:pt idx="22">
                  <c:v>20265</c:v>
                </c:pt>
                <c:pt idx="23">
                  <c:v>20265</c:v>
                </c:pt>
                <c:pt idx="24">
                  <c:v>20371</c:v>
                </c:pt>
                <c:pt idx="25">
                  <c:v>20407</c:v>
                </c:pt>
                <c:pt idx="26">
                  <c:v>20407</c:v>
                </c:pt>
                <c:pt idx="27">
                  <c:v>20443</c:v>
                </c:pt>
                <c:pt idx="28">
                  <c:v>20443</c:v>
                </c:pt>
                <c:pt idx="29">
                  <c:v>20458</c:v>
                </c:pt>
                <c:pt idx="30">
                  <c:v>20458</c:v>
                </c:pt>
                <c:pt idx="31">
                  <c:v>20482</c:v>
                </c:pt>
                <c:pt idx="32">
                  <c:v>20482</c:v>
                </c:pt>
                <c:pt idx="33">
                  <c:v>21098</c:v>
                </c:pt>
                <c:pt idx="34">
                  <c:v>21098</c:v>
                </c:pt>
                <c:pt idx="35">
                  <c:v>21938</c:v>
                </c:pt>
                <c:pt idx="36">
                  <c:v>21938</c:v>
                </c:pt>
                <c:pt idx="37">
                  <c:v>21938</c:v>
                </c:pt>
                <c:pt idx="38">
                  <c:v>21938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(JUNE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0.18539532646520374</c:v>
                </c:pt>
                <c:pt idx="1">
                  <c:v>0.13213950908742877</c:v>
                </c:pt>
                <c:pt idx="2">
                  <c:v>7.7013688813848818E-2</c:v>
                </c:pt>
                <c:pt idx="3">
                  <c:v>7.5747387640311567E-2</c:v>
                </c:pt>
                <c:pt idx="4">
                  <c:v>2.2297698571239258E-2</c:v>
                </c:pt>
                <c:pt idx="5">
                  <c:v>0.169586194372322</c:v>
                </c:pt>
                <c:pt idx="6">
                  <c:v>0.33549128068203571</c:v>
                </c:pt>
                <c:pt idx="7">
                  <c:v>2.3289143676101759E-3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7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2471.3*0.292</f>
        <v>721.6196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2883*0.418</f>
        <v>1205.094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2720.4*0.444</f>
        <v>1207.8576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>
        <f>2+361+40+935+3192</f>
        <v>4530</v>
      </c>
      <c r="I9" s="1"/>
      <c r="J9" s="1">
        <v>10057</v>
      </c>
      <c r="L9" s="1" t="s">
        <v>6</v>
      </c>
      <c r="M9" s="1"/>
      <c r="N9" s="1">
        <v>2760</v>
      </c>
      <c r="O9" s="1">
        <f>3176.9*0.489</f>
        <v>1553.5041</v>
      </c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4987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/>
      <c r="E10" s="1">
        <v>2655</v>
      </c>
      <c r="G10" s="1" t="s">
        <v>7</v>
      </c>
      <c r="H10" s="1"/>
      <c r="I10" s="1"/>
      <c r="J10" s="1">
        <v>11250</v>
      </c>
      <c r="L10" s="1" t="s">
        <v>7</v>
      </c>
      <c r="M10" s="1"/>
      <c r="N10" s="1"/>
      <c r="O10" s="1"/>
      <c r="P10" s="1">
        <v>3151</v>
      </c>
      <c r="R10" s="1" t="s">
        <v>7</v>
      </c>
      <c r="S10" s="1"/>
      <c r="T10" s="1">
        <v>14698</v>
      </c>
      <c r="W10" s="1" t="s">
        <v>7</v>
      </c>
      <c r="X10" s="1"/>
      <c r="Y10" s="1"/>
      <c r="Z10" s="1"/>
      <c r="AA10" s="1">
        <v>5040</v>
      </c>
      <c r="AC10" s="1" t="s">
        <v>7</v>
      </c>
      <c r="AD10" s="1"/>
      <c r="AE10" s="1">
        <v>21721</v>
      </c>
    </row>
    <row r="11" spans="2:31" x14ac:dyDescent="0.35">
      <c r="B11" s="1" t="s">
        <v>8</v>
      </c>
      <c r="C11" s="1"/>
      <c r="D11" s="1"/>
      <c r="E11" s="1"/>
      <c r="G11" s="1" t="s">
        <v>8</v>
      </c>
      <c r="H11" s="1"/>
      <c r="I11" s="1"/>
      <c r="J11" s="1"/>
      <c r="L11" s="1" t="s">
        <v>8</v>
      </c>
      <c r="M11" s="1"/>
      <c r="N11" s="1"/>
      <c r="O11" s="1"/>
      <c r="P11" s="1"/>
      <c r="R11" s="1" t="s">
        <v>8</v>
      </c>
      <c r="S11" s="1"/>
      <c r="T11" s="1"/>
      <c r="W11" s="1" t="s">
        <v>8</v>
      </c>
      <c r="X11" s="1"/>
      <c r="Y11" s="1"/>
      <c r="Z11" s="1"/>
      <c r="AA11" s="1"/>
      <c r="AC11" s="1" t="s">
        <v>8</v>
      </c>
      <c r="AD11" s="1"/>
      <c r="AE11" s="1"/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45413</v>
      </c>
      <c r="B19" s="1">
        <v>2024</v>
      </c>
      <c r="C19" s="1">
        <v>0</v>
      </c>
      <c r="D19" s="1">
        <v>2</v>
      </c>
    </row>
    <row r="20" spans="1:4" x14ac:dyDescent="0.35">
      <c r="A20" s="3">
        <v>45778</v>
      </c>
      <c r="B20" s="1">
        <v>2025</v>
      </c>
      <c r="C20" s="1">
        <f t="shared" ref="C20:C21" si="0">+C19+D19</f>
        <v>2</v>
      </c>
      <c r="D20" s="1">
        <v>361</v>
      </c>
    </row>
    <row r="21" spans="1:4" x14ac:dyDescent="0.35">
      <c r="A21" s="3">
        <v>46023</v>
      </c>
      <c r="B21" s="1">
        <v>2026</v>
      </c>
      <c r="C21" s="1">
        <f t="shared" si="0"/>
        <v>363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363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403</v>
      </c>
      <c r="D23" s="1">
        <v>935</v>
      </c>
    </row>
    <row r="24" spans="1:4" x14ac:dyDescent="0.35">
      <c r="A24" s="3">
        <v>46113</v>
      </c>
      <c r="B24" s="1">
        <v>2026</v>
      </c>
      <c r="C24" s="1">
        <f t="shared" si="1"/>
        <v>1338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1338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1338</v>
      </c>
      <c r="D26" s="1">
        <v>3192</v>
      </c>
    </row>
    <row r="27" spans="1:4" x14ac:dyDescent="0.35">
      <c r="A27" s="3">
        <v>46204</v>
      </c>
      <c r="B27" s="1">
        <v>2026</v>
      </c>
      <c r="C27" s="1">
        <f t="shared" si="1"/>
        <v>4530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4785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6402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7802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10739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10846</v>
      </c>
      <c r="D32" s="1">
        <v>653</v>
      </c>
    </row>
    <row r="33" spans="1:4" x14ac:dyDescent="0.35">
      <c r="A33" s="3">
        <v>46388</v>
      </c>
      <c r="B33" s="1">
        <v>2027</v>
      </c>
      <c r="C33" s="1">
        <f t="shared" si="1"/>
        <v>11499</v>
      </c>
      <c r="D33" s="1">
        <v>2695</v>
      </c>
    </row>
    <row r="34" spans="1:4" x14ac:dyDescent="0.35">
      <c r="A34" s="3">
        <v>46419</v>
      </c>
      <c r="B34" s="1">
        <v>2027</v>
      </c>
      <c r="C34" s="1">
        <f t="shared" si="1"/>
        <v>14194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14194</v>
      </c>
      <c r="D35" s="1">
        <v>3744</v>
      </c>
    </row>
    <row r="36" spans="1:4" x14ac:dyDescent="0.35">
      <c r="A36" s="3">
        <v>46478</v>
      </c>
      <c r="B36" s="1">
        <v>2027</v>
      </c>
      <c r="C36" s="1">
        <f t="shared" si="1"/>
        <v>17938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18938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19938</v>
      </c>
      <c r="D38" s="1">
        <v>242</v>
      </c>
    </row>
    <row r="39" spans="1:4" x14ac:dyDescent="0.35">
      <c r="A39" s="3">
        <v>46569</v>
      </c>
      <c r="B39" s="1">
        <v>2027</v>
      </c>
      <c r="C39" s="1">
        <f t="shared" si="1"/>
        <v>20180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20205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20265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20265</v>
      </c>
      <c r="D42" s="1">
        <v>106</v>
      </c>
    </row>
    <row r="43" spans="1:4" x14ac:dyDescent="0.35">
      <c r="A43" s="3">
        <v>46692</v>
      </c>
      <c r="B43" s="1">
        <v>2027</v>
      </c>
      <c r="C43" s="1">
        <f t="shared" si="1"/>
        <v>20371</v>
      </c>
      <c r="D43" s="1">
        <v>36</v>
      </c>
    </row>
    <row r="44" spans="1:4" x14ac:dyDescent="0.35">
      <c r="A44" s="3">
        <v>46722</v>
      </c>
      <c r="B44" s="1">
        <v>2027</v>
      </c>
      <c r="C44" s="1">
        <f t="shared" si="1"/>
        <v>20407</v>
      </c>
      <c r="D44" s="1">
        <v>0</v>
      </c>
    </row>
    <row r="45" spans="1:4" x14ac:dyDescent="0.35">
      <c r="A45" s="3">
        <v>46753</v>
      </c>
      <c r="B45" s="1">
        <v>2028</v>
      </c>
      <c r="C45" s="1">
        <f t="shared" si="1"/>
        <v>20407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20443</v>
      </c>
      <c r="D46" s="1">
        <v>0</v>
      </c>
    </row>
    <row r="47" spans="1:4" x14ac:dyDescent="0.35">
      <c r="A47" s="3">
        <v>46813</v>
      </c>
      <c r="B47" s="1">
        <v>2028</v>
      </c>
      <c r="C47" s="1">
        <f t="shared" si="1"/>
        <v>20443</v>
      </c>
      <c r="D47" s="1">
        <v>15</v>
      </c>
    </row>
    <row r="48" spans="1:4" x14ac:dyDescent="0.35">
      <c r="A48" s="3">
        <v>46844</v>
      </c>
      <c r="B48" s="1">
        <v>2028</v>
      </c>
      <c r="C48" s="1">
        <f t="shared" si="1"/>
        <v>20458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20458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20482</v>
      </c>
      <c r="D50" s="1">
        <v>0</v>
      </c>
    </row>
    <row r="51" spans="1:4" x14ac:dyDescent="0.35">
      <c r="A51" s="3">
        <v>46935</v>
      </c>
      <c r="B51" s="1">
        <v>2028</v>
      </c>
      <c r="C51" s="1">
        <f t="shared" si="1"/>
        <v>20482</v>
      </c>
      <c r="D51" s="1">
        <v>616</v>
      </c>
    </row>
    <row r="52" spans="1:4" x14ac:dyDescent="0.35">
      <c r="A52" s="3">
        <v>46966</v>
      </c>
      <c r="B52" s="1">
        <v>2028</v>
      </c>
      <c r="C52" s="1">
        <f t="shared" si="1"/>
        <v>21098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21098</v>
      </c>
      <c r="D53" s="1">
        <v>840</v>
      </c>
    </row>
    <row r="54" spans="1:4" x14ac:dyDescent="0.35">
      <c r="A54" s="3">
        <v>47027</v>
      </c>
      <c r="B54" s="1">
        <v>2028</v>
      </c>
      <c r="C54" s="1">
        <f t="shared" si="1"/>
        <v>21938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21938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21938</v>
      </c>
      <c r="D56" s="1">
        <v>0</v>
      </c>
    </row>
    <row r="57" spans="1:4" x14ac:dyDescent="0.35">
      <c r="A57" s="3">
        <v>47362</v>
      </c>
      <c r="B57" s="1">
        <v>2029</v>
      </c>
      <c r="C57" s="1">
        <f t="shared" si="1"/>
        <v>21938</v>
      </c>
      <c r="D57" s="1">
        <v>162</v>
      </c>
    </row>
  </sheetData>
  <mergeCells count="6"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</cols>
  <sheetData>
    <row r="1" spans="1:7" ht="15" thickBot="1" x14ac:dyDescent="0.4"/>
    <row r="2" spans="1:7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</row>
    <row r="4" spans="1:7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</row>
    <row r="5" spans="1:7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</row>
    <row r="6" spans="1:7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</row>
    <row r="7" spans="1:7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3083.6</v>
      </c>
      <c r="G7" s="4">
        <v>3086.6</v>
      </c>
    </row>
    <row r="8" spans="1:7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</row>
    <row r="9" spans="1:7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</row>
    <row r="10" spans="1:7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</row>
    <row r="11" spans="1:7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</row>
    <row r="12" spans="1:7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</row>
    <row r="13" spans="1:7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40205.1</v>
      </c>
      <c r="G13" s="8">
        <f t="shared" si="0"/>
        <v>40748.6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7554.6</v>
      </c>
      <c r="C17" s="10">
        <f>+SUM(G3:G4)/$G$13</f>
        <v>0.18539532646520374</v>
      </c>
    </row>
    <row r="18" spans="1:3" ht="15" thickBot="1" x14ac:dyDescent="0.4">
      <c r="A18" s="10" t="s">
        <v>28</v>
      </c>
      <c r="B18" s="12">
        <f t="shared" ref="B18:B24" si="1">+C18*$C$25</f>
        <v>5384.5</v>
      </c>
      <c r="C18" s="10">
        <f>+G5/$G$13</f>
        <v>0.13213950908742877</v>
      </c>
    </row>
    <row r="19" spans="1:3" ht="15" thickBot="1" x14ac:dyDescent="0.4">
      <c r="A19" s="10" t="s">
        <v>29</v>
      </c>
      <c r="B19" s="12">
        <f t="shared" si="1"/>
        <v>3138.2</v>
      </c>
      <c r="C19" s="10">
        <f>+G6/$G$13</f>
        <v>7.7013688813848818E-2</v>
      </c>
    </row>
    <row r="20" spans="1:3" ht="15" thickBot="1" x14ac:dyDescent="0.4">
      <c r="A20" s="10" t="s">
        <v>30</v>
      </c>
      <c r="B20" s="12">
        <f t="shared" si="1"/>
        <v>3086.6</v>
      </c>
      <c r="C20" s="10">
        <f>+G7/$G$13</f>
        <v>7.5747387640311567E-2</v>
      </c>
    </row>
    <row r="21" spans="1:3" ht="15" thickBot="1" x14ac:dyDescent="0.4">
      <c r="A21" s="10" t="s">
        <v>31</v>
      </c>
      <c r="B21" s="12">
        <f t="shared" si="1"/>
        <v>908.6</v>
      </c>
      <c r="C21" s="10">
        <f>+G8/$G$13</f>
        <v>2.2297698571239258E-2</v>
      </c>
    </row>
    <row r="22" spans="1:3" ht="15" thickBot="1" x14ac:dyDescent="0.4">
      <c r="A22" s="10" t="s">
        <v>32</v>
      </c>
      <c r="B22" s="12">
        <f t="shared" si="1"/>
        <v>6910.4000000000005</v>
      </c>
      <c r="C22" s="10">
        <f>+G9/$G$13</f>
        <v>0.169586194372322</v>
      </c>
    </row>
    <row r="23" spans="1:3" ht="28" thickBot="1" x14ac:dyDescent="0.4">
      <c r="A23" s="10" t="s">
        <v>33</v>
      </c>
      <c r="B23" s="12">
        <f t="shared" si="1"/>
        <v>13670.8</v>
      </c>
      <c r="C23" s="11">
        <f>+(G10+G11)/$G$13</f>
        <v>0.33549128068203571</v>
      </c>
    </row>
    <row r="24" spans="1:3" ht="15" thickBot="1" x14ac:dyDescent="0.4">
      <c r="A24" s="10" t="s">
        <v>34</v>
      </c>
      <c r="B24" s="12">
        <f t="shared" si="1"/>
        <v>94.9</v>
      </c>
      <c r="C24" s="11">
        <f>+(G12)/$G$13</f>
        <v>2.3289143676101759E-3</v>
      </c>
    </row>
    <row r="25" spans="1:3" ht="15" thickBot="1" x14ac:dyDescent="0.4">
      <c r="A25" s="5" t="s">
        <v>35</v>
      </c>
      <c r="B25" s="5">
        <f>+C25</f>
        <v>40748.6</v>
      </c>
      <c r="C25" s="5">
        <v>40748.6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BESS</vt:lpstr>
      <vt:lpstr>Energy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