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8800" windowHeight="11170"/>
  </bookViews>
  <sheets>
    <sheet name="BESS" sheetId="1" r:id="rId1"/>
    <sheet name="Energy Matrix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25" i="2" l="1"/>
  <c r="B18" i="2"/>
  <c r="B19" i="2"/>
  <c r="B20" i="2"/>
  <c r="B21" i="2"/>
  <c r="B22" i="2"/>
  <c r="B23" i="2"/>
  <c r="B24" i="2"/>
  <c r="B17" i="2"/>
  <c r="C24" i="2"/>
  <c r="C17" i="2"/>
  <c r="Z9" i="1"/>
  <c r="C23" i="2"/>
  <c r="C22" i="2"/>
  <c r="C21" i="2"/>
  <c r="C20" i="2"/>
  <c r="C19" i="2"/>
  <c r="C18" i="2"/>
  <c r="B13" i="2"/>
  <c r="C13" i="2"/>
  <c r="D13" i="2"/>
  <c r="E13" i="2"/>
  <c r="F13" i="2"/>
  <c r="G13" i="2"/>
  <c r="H4" i="1" l="1"/>
  <c r="H5" i="1"/>
  <c r="H6" i="1"/>
  <c r="C20" i="1" l="1"/>
  <c r="C21" i="1" s="1"/>
  <c r="O8" i="1" l="1"/>
  <c r="O6" i="1"/>
  <c r="O7" i="1"/>
  <c r="O5" i="1"/>
  <c r="O4" i="1" l="1"/>
  <c r="C22" i="1" l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C33" i="1" s="1"/>
  <c r="C34" i="1" s="1"/>
  <c r="C35" i="1" s="1"/>
  <c r="C36" i="1" s="1"/>
  <c r="C37" i="1" s="1"/>
  <c r="C38" i="1" s="1"/>
  <c r="C39" i="1" s="1"/>
  <c r="C40" i="1" s="1"/>
  <c r="C41" i="1" s="1"/>
  <c r="C42" i="1" s="1"/>
  <c r="C43" i="1" s="1"/>
  <c r="C44" i="1" s="1"/>
  <c r="C45" i="1" s="1"/>
  <c r="C46" i="1" s="1"/>
  <c r="C47" i="1" s="1"/>
  <c r="C48" i="1" s="1"/>
  <c r="C49" i="1" s="1"/>
  <c r="C50" i="1" s="1"/>
  <c r="C51" i="1" s="1"/>
  <c r="C52" i="1" s="1"/>
  <c r="C53" i="1" s="1"/>
  <c r="C54" i="1" s="1"/>
  <c r="C55" i="1" s="1"/>
  <c r="C56" i="1" s="1"/>
  <c r="C57" i="1" s="1"/>
</calcChain>
</file>

<file path=xl/sharedStrings.xml><?xml version="1.0" encoding="utf-8"?>
<sst xmlns="http://schemas.openxmlformats.org/spreadsheetml/2006/main" count="130" uniqueCount="44">
  <si>
    <t>E. Abierta</t>
  </si>
  <si>
    <t>January</t>
  </si>
  <si>
    <t>February</t>
  </si>
  <si>
    <t>March</t>
  </si>
  <si>
    <t>April</t>
  </si>
  <si>
    <t>May</t>
  </si>
  <si>
    <t>June</t>
  </si>
  <si>
    <t>July</t>
  </si>
  <si>
    <t>August</t>
  </si>
  <si>
    <t>September</t>
  </si>
  <si>
    <t>October</t>
  </si>
  <si>
    <t>November</t>
  </si>
  <si>
    <t>December</t>
  </si>
  <si>
    <t>Generadoras</t>
  </si>
  <si>
    <t>Min. Energía</t>
  </si>
  <si>
    <t>ACERA</t>
  </si>
  <si>
    <t>2026 BESS in construction MW</t>
  </si>
  <si>
    <t>2026 BESS in construction MWh</t>
  </si>
  <si>
    <t>2026 BESS in operation MW</t>
  </si>
  <si>
    <t>2026 BESS in operation MWh</t>
  </si>
  <si>
    <t>2026 BESS in test MW</t>
  </si>
  <si>
    <t>2026 BESS in test MWh</t>
  </si>
  <si>
    <t>Month</t>
  </si>
  <si>
    <t>Year</t>
  </si>
  <si>
    <t>Evolución capacidad BESS según fecha estimada de interconexión (Updated July )</t>
  </si>
  <si>
    <t>Acumulado</t>
  </si>
  <si>
    <t>Mensual</t>
  </si>
  <si>
    <t>Hydric</t>
  </si>
  <si>
    <t>Natural Gas</t>
  </si>
  <si>
    <t>Coal</t>
  </si>
  <si>
    <t>Diesel</t>
  </si>
  <si>
    <t>Other thermal</t>
  </si>
  <si>
    <t>Eolic</t>
  </si>
  <si>
    <t>Solar (PV +Thermal)</t>
  </si>
  <si>
    <t>Geothermal</t>
  </si>
  <si>
    <t>Total [MW]</t>
  </si>
  <si>
    <t>Solar (PV)</t>
  </si>
  <si>
    <t>Sola (Thermal)</t>
  </si>
  <si>
    <t>Run if the River Hydraulics</t>
  </si>
  <si>
    <t>Reservoir Hydraulics</t>
  </si>
  <si>
    <t>Technology</t>
  </si>
  <si>
    <t>%</t>
  </si>
  <si>
    <t xml:space="preserve">Installed capacity [MW]
</t>
  </si>
  <si>
    <t>Coordinador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</si>
</sst>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.5"/>
      <color rgb="FF000000"/>
      <name val="Arial"/>
    </font>
    <font>
      <b/>
      <sz val="10.5"/>
      <color rgb="FFFFFFFF"/>
      <name val="Arial"/>
    </font>
    <font>
      <sz val="11"/>
      <color rgb="FF000000"/>
      <name val="Arial"/>
    </font>
    <font>
      <b/>
      <sz val="12"/>
      <color rgb="FF000000"/>
      <name val="Arial"/>
    </font>
  </fonts>
  <fills count="3">
    <fill>
      <patternFill patternType="none"/>
    </fill>
    <fill>
      <patternFill patternType="gray125"/>
    </fill>
    <fill>
      <patternFill patternType="solid">
        <fgColor rgb="FF23B966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6">
    <xf numFmtId="0" fontId="0" fillId="0" borderId="0" xfId="0"/>
    <xf numFmtId="0" fontId="0" fillId="0" borderId="1" xfId="0" applyBorder="1"/>
    <xf numFmtId="0" fontId="0" fillId="0" borderId="1" xfId="0" applyBorder="1" applyAlignment="1"/>
    <xf numFmtId="17" fontId="0" fillId="0" borderId="1" xfId="0" applyNumberFormat="1" applyBorder="1"/>
    <xf numFmtId="0" fontId="2" fillId="0" borderId="2" xfId="0" applyFont="1" applyBorder="1" applyAlignment="1">
      <alignment horizontal="center" wrapText="1" readingOrder="1"/>
    </xf>
    <xf numFmtId="0" fontId="3" fillId="2" borderId="2" xfId="0" applyFont="1" applyFill="1" applyBorder="1" applyAlignment="1">
      <alignment horizontal="center" wrapText="1" readingOrder="1"/>
    </xf>
    <xf numFmtId="0" fontId="2" fillId="0" borderId="3" xfId="0" applyFont="1" applyFill="1" applyBorder="1" applyAlignment="1">
      <alignment horizontal="center" wrapText="1" readingOrder="1"/>
    </xf>
    <xf numFmtId="0" fontId="0" fillId="0" borderId="0" xfId="0" applyAlignment="1">
      <alignment wrapText="1"/>
    </xf>
    <xf numFmtId="2" fontId="3" fillId="2" borderId="2" xfId="0" applyNumberFormat="1" applyFont="1" applyFill="1" applyBorder="1" applyAlignment="1">
      <alignment horizontal="center" wrapText="1" readingOrder="1"/>
    </xf>
    <xf numFmtId="0" fontId="5" fillId="0" borderId="2" xfId="0" applyFont="1" applyBorder="1" applyAlignment="1">
      <alignment horizontal="center" wrapText="1" readingOrder="1"/>
    </xf>
    <xf numFmtId="164" fontId="2" fillId="0" borderId="2" xfId="1" applyNumberFormat="1" applyFont="1" applyBorder="1" applyAlignment="1">
      <alignment horizontal="center" wrapText="1" readingOrder="1"/>
    </xf>
    <xf numFmtId="164" fontId="4" fillId="0" borderId="2" xfId="1" applyNumberFormat="1" applyFont="1" applyBorder="1" applyAlignment="1">
      <alignment horizontal="center" wrapText="1" readingOrder="1"/>
    </xf>
    <xf numFmtId="0" fontId="2" fillId="0" borderId="2" xfId="1" applyNumberFormat="1" applyFont="1" applyBorder="1" applyAlignment="1">
      <alignment horizontal="center" wrapText="1" readingOrder="1"/>
    </xf>
    <xf numFmtId="0" fontId="5" fillId="0" borderId="2" xfId="0" applyFont="1" applyBorder="1" applyAlignment="1">
      <alignment horizontal="center" vertical="center" wrapText="1" readingOrder="1"/>
    </xf>
    <xf numFmtId="0" fontId="0" fillId="0" borderId="4" xfId="0" applyFill="1" applyBorder="1"/>
    <xf numFmtId="0" fontId="0" fillId="0" borderId="1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MX"/>
              <a:t>Evolución capacidad BESS operativo</a:t>
            </a:r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/>
      <c:barChart>
        <c:barDir val="col"/>
        <c:grouping val="stacked"/>
        <c:varyColors val="0"/>
        <c:ser>
          <c:idx val="1"/>
          <c:order val="1"/>
          <c:tx>
            <c:v>Mensual</c:v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dLbls>
            <c:dLbl>
              <c:idx val="1"/>
              <c:layout>
                <c:manualLayout>
                  <c:x val="0"/>
                  <c:y val="-6.202245709452065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3-CD32-4296-A025-F69E662D3C90}"/>
                </c:ext>
              </c:extLst>
            </c:dLbl>
            <c:dLbl>
              <c:idx val="3"/>
              <c:layout>
                <c:manualLayout>
                  <c:x val="-5.4584050931345475E-17"/>
                  <c:y val="-0.2170785998308220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4-CD32-4296-A025-F69E662D3C90}"/>
                </c:ext>
              </c:extLst>
            </c:dLbl>
            <c:dLbl>
              <c:idx val="4"/>
              <c:layout>
                <c:manualLayout>
                  <c:x val="1.4886731315716273E-3"/>
                  <c:y val="-0.1421347975082762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5-CD32-4296-A025-F69E662D3C90}"/>
                </c:ext>
              </c:extLst>
            </c:dLbl>
            <c:dLbl>
              <c:idx val="7"/>
              <c:layout>
                <c:manualLayout>
                  <c:x val="-5.4584050931345475E-17"/>
                  <c:y val="-0.3178650926094179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6-CD32-4296-A025-F69E662D3C90}"/>
                </c:ext>
              </c:extLst>
            </c:dLbl>
            <c:dLbl>
              <c:idx val="8"/>
              <c:layout>
                <c:manualLayout>
                  <c:x val="0"/>
                  <c:y val="-4.134830472968046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7-CD32-4296-A025-F69E662D3C90}"/>
                </c:ext>
              </c:extLst>
            </c:dLbl>
            <c:dLbl>
              <c:idx val="9"/>
              <c:layout>
                <c:manualLayout>
                  <c:x val="-5.4584050931345475E-17"/>
                  <c:y val="-0.1705617570099316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8-CD32-4296-A025-F69E662D3C90}"/>
                </c:ext>
              </c:extLst>
            </c:dLbl>
            <c:dLbl>
              <c:idx val="10"/>
              <c:layout>
                <c:manualLayout>
                  <c:x val="0"/>
                  <c:y val="-0.1447190665538813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C-CD32-4296-A025-F69E662D3C90}"/>
                </c:ext>
              </c:extLst>
            </c:dLbl>
            <c:dLbl>
              <c:idx val="11"/>
              <c:layout>
                <c:manualLayout>
                  <c:x val="0"/>
                  <c:y val="-0.29719094024457765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9-CD32-4296-A025-F69E662D3C90}"/>
                </c:ext>
              </c:extLst>
            </c:dLbl>
            <c:dLbl>
              <c:idx val="12"/>
              <c:layout>
                <c:manualLayout>
                  <c:x val="0"/>
                  <c:y val="-4.6516842820890511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A-CD32-4296-A025-F69E662D3C90}"/>
                </c:ext>
              </c:extLst>
            </c:dLbl>
            <c:dLbl>
              <c:idx val="13"/>
              <c:layout>
                <c:manualLayout>
                  <c:x val="-1.4886731315716273E-3"/>
                  <c:y val="-8.5280878504965865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B-CD32-4296-A025-F69E662D3C90}"/>
                </c:ext>
              </c:extLst>
            </c:dLbl>
            <c:dLbl>
              <c:idx val="14"/>
              <c:layout>
                <c:manualLayout>
                  <c:x val="-1.4886731315715729E-3"/>
                  <c:y val="-0.27393251883413244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D-CD32-4296-A025-F69E662D3C90}"/>
                </c:ext>
              </c:extLst>
            </c:dLbl>
            <c:dLbl>
              <c:idx val="16"/>
              <c:layout>
                <c:manualLayout>
                  <c:x val="0"/>
                  <c:y val="-0.3759216487370327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E-CD32-4296-A025-F69E662D3C90}"/>
                </c:ext>
              </c:extLst>
            </c:dLbl>
            <c:dLbl>
              <c:idx val="17"/>
              <c:layout>
                <c:manualLayout>
                  <c:x val="-4.4660193947148822E-3"/>
                  <c:y val="-0.12404491418904111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0-CD32-4296-A025-F69E662D3C90}"/>
                </c:ext>
              </c:extLst>
            </c:dLbl>
            <c:dLbl>
              <c:idx val="18"/>
              <c:layout>
                <c:manualLayout>
                  <c:x val="2.6796116368289293E-2"/>
                  <c:y val="-0.11112356896101609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0F-CD32-4296-A025-F69E662D3C90}"/>
                </c:ext>
              </c:extLst>
            </c:dLbl>
            <c:dLbl>
              <c:idx val="19"/>
              <c:layout>
                <c:manualLayout>
                  <c:x val="1.4886731315716273E-3"/>
                  <c:y val="-4.3932573775285394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1-CD32-4296-A025-F69E662D3C90}"/>
                </c:ext>
              </c:extLst>
            </c:dLbl>
            <c:dLbl>
              <c:idx val="21"/>
              <c:layout>
                <c:manualLayout>
                  <c:x val="-7.4433656578581373E-3"/>
                  <c:y val="-1.8089883319235067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2-CD32-4296-A025-F69E662D3C90}"/>
                </c:ext>
              </c:extLst>
            </c:dLbl>
            <c:dLbl>
              <c:idx val="32"/>
              <c:layout>
                <c:manualLayout>
                  <c:x val="-1.4886731315716273E-3"/>
                  <c:y val="-7.7528071368150792E-2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4-CD32-4296-A025-F69E662D3C90}"/>
                </c:ext>
              </c:extLst>
            </c:dLbl>
            <c:dLbl>
              <c:idx val="34"/>
              <c:layout>
                <c:manualLayout>
                  <c:x val="0"/>
                  <c:y val="-0.100786492778596"/>
                </c:manualLayout>
              </c:layout>
              <c:showLegendKey val="0"/>
              <c:showVal val="1"/>
              <c:showCatName val="0"/>
              <c:showSerName val="0"/>
              <c:showPercent val="0"/>
              <c:showBubbleSize val="0"/>
              <c:extLst>
                <c:ext xmlns:c15="http://schemas.microsoft.com/office/drawing/2012/chart" uri="{CE6537A1-D6FC-4f65-9D91-7224C49458BB}">
                  <c15:layout/>
                </c:ext>
                <c:ext xmlns:c16="http://schemas.microsoft.com/office/drawing/2014/chart" uri="{C3380CC4-5D6E-409C-BE32-E72D297353CC}">
                  <c16:uniqueId val="{00000013-CD32-4296-A025-F69E662D3C90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layout/>
                <c15:showLeaderLines val="1"/>
                <c15:leaderLines>
                  <c:spPr>
                    <a:ln w="9525" cap="flat" cmpd="sng" algn="ctr">
                      <a:solidFill>
                        <a:schemeClr val="tx1">
                          <a:lumMod val="35000"/>
                          <a:lumOff val="65000"/>
                        </a:schemeClr>
                      </a:solidFill>
                      <a:round/>
                    </a:ln>
                    <a:effectLst/>
                  </c:spPr>
                </c15:leaderLines>
              </c:ext>
            </c:extLst>
          </c:dLbls>
          <c:val>
            <c:numRef>
              <c:f>BESS!$D$19:$D$57</c:f>
              <c:numCache>
                <c:formatCode>General</c:formatCode>
                <c:ptCount val="39"/>
                <c:pt idx="0">
                  <c:v>2</c:v>
                </c:pt>
                <c:pt idx="1">
                  <c:v>361</c:v>
                </c:pt>
                <c:pt idx="2">
                  <c:v>0</c:v>
                </c:pt>
                <c:pt idx="3">
                  <c:v>40</c:v>
                </c:pt>
                <c:pt idx="4">
                  <c:v>935</c:v>
                </c:pt>
                <c:pt idx="5">
                  <c:v>0</c:v>
                </c:pt>
                <c:pt idx="6">
                  <c:v>0</c:v>
                </c:pt>
                <c:pt idx="7">
                  <c:v>3192</c:v>
                </c:pt>
                <c:pt idx="8">
                  <c:v>255</c:v>
                </c:pt>
                <c:pt idx="9">
                  <c:v>1617</c:v>
                </c:pt>
                <c:pt idx="10">
                  <c:v>1400</c:v>
                </c:pt>
                <c:pt idx="11">
                  <c:v>2937</c:v>
                </c:pt>
                <c:pt idx="12">
                  <c:v>107</c:v>
                </c:pt>
                <c:pt idx="13">
                  <c:v>653</c:v>
                </c:pt>
                <c:pt idx="14">
                  <c:v>2695</c:v>
                </c:pt>
                <c:pt idx="15">
                  <c:v>0</c:v>
                </c:pt>
                <c:pt idx="16">
                  <c:v>3744</c:v>
                </c:pt>
                <c:pt idx="17">
                  <c:v>1000</c:v>
                </c:pt>
                <c:pt idx="18">
                  <c:v>1000</c:v>
                </c:pt>
                <c:pt idx="19">
                  <c:v>242</c:v>
                </c:pt>
                <c:pt idx="20">
                  <c:v>25</c:v>
                </c:pt>
                <c:pt idx="21">
                  <c:v>60</c:v>
                </c:pt>
                <c:pt idx="22">
                  <c:v>0</c:v>
                </c:pt>
                <c:pt idx="23">
                  <c:v>106</c:v>
                </c:pt>
                <c:pt idx="24">
                  <c:v>36</c:v>
                </c:pt>
                <c:pt idx="25">
                  <c:v>0</c:v>
                </c:pt>
                <c:pt idx="26">
                  <c:v>36</c:v>
                </c:pt>
                <c:pt idx="27">
                  <c:v>0</c:v>
                </c:pt>
                <c:pt idx="28">
                  <c:v>15</c:v>
                </c:pt>
                <c:pt idx="29">
                  <c:v>0</c:v>
                </c:pt>
                <c:pt idx="30">
                  <c:v>24</c:v>
                </c:pt>
                <c:pt idx="31">
                  <c:v>0</c:v>
                </c:pt>
                <c:pt idx="32">
                  <c:v>616</c:v>
                </c:pt>
                <c:pt idx="33">
                  <c:v>0</c:v>
                </c:pt>
                <c:pt idx="34">
                  <c:v>840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162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CD32-4296-A025-F69E662D3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76890544"/>
        <c:axId val="76883888"/>
      </c:barChart>
      <c:lineChart>
        <c:grouping val="standard"/>
        <c:varyColors val="0"/>
        <c:ser>
          <c:idx val="0"/>
          <c:order val="0"/>
          <c:tx>
            <c:strRef>
              <c:f>BESS!$C$18</c:f>
              <c:strCache>
                <c:ptCount val="1"/>
                <c:pt idx="0">
                  <c:v>Acumulado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BESS!$A$19:$A$57</c:f>
              <c:numCache>
                <c:formatCode>mmm\-yy</c:formatCode>
                <c:ptCount val="39"/>
                <c:pt idx="0">
                  <c:v>45413</c:v>
                </c:pt>
                <c:pt idx="1">
                  <c:v>45778</c:v>
                </c:pt>
                <c:pt idx="2">
                  <c:v>46023</c:v>
                </c:pt>
                <c:pt idx="3">
                  <c:v>46054</c:v>
                </c:pt>
                <c:pt idx="4">
                  <c:v>46082</c:v>
                </c:pt>
                <c:pt idx="5">
                  <c:v>46113</c:v>
                </c:pt>
                <c:pt idx="6">
                  <c:v>46143</c:v>
                </c:pt>
                <c:pt idx="7">
                  <c:v>46174</c:v>
                </c:pt>
                <c:pt idx="8">
                  <c:v>46204</c:v>
                </c:pt>
                <c:pt idx="9">
                  <c:v>46235</c:v>
                </c:pt>
                <c:pt idx="10">
                  <c:v>46266</c:v>
                </c:pt>
                <c:pt idx="11">
                  <c:v>46296</c:v>
                </c:pt>
                <c:pt idx="12">
                  <c:v>46327</c:v>
                </c:pt>
                <c:pt idx="13">
                  <c:v>46357</c:v>
                </c:pt>
                <c:pt idx="14">
                  <c:v>46388</c:v>
                </c:pt>
                <c:pt idx="15">
                  <c:v>46419</c:v>
                </c:pt>
                <c:pt idx="16">
                  <c:v>46447</c:v>
                </c:pt>
                <c:pt idx="17">
                  <c:v>46478</c:v>
                </c:pt>
                <c:pt idx="18">
                  <c:v>46508</c:v>
                </c:pt>
                <c:pt idx="19">
                  <c:v>46539</c:v>
                </c:pt>
                <c:pt idx="20">
                  <c:v>46569</c:v>
                </c:pt>
                <c:pt idx="21">
                  <c:v>46600</c:v>
                </c:pt>
                <c:pt idx="22">
                  <c:v>46631</c:v>
                </c:pt>
                <c:pt idx="23">
                  <c:v>46661</c:v>
                </c:pt>
                <c:pt idx="24">
                  <c:v>46692</c:v>
                </c:pt>
                <c:pt idx="25">
                  <c:v>46722</c:v>
                </c:pt>
                <c:pt idx="26">
                  <c:v>46753</c:v>
                </c:pt>
                <c:pt idx="27">
                  <c:v>46784</c:v>
                </c:pt>
                <c:pt idx="28">
                  <c:v>46813</c:v>
                </c:pt>
                <c:pt idx="29">
                  <c:v>46844</c:v>
                </c:pt>
                <c:pt idx="30">
                  <c:v>46874</c:v>
                </c:pt>
                <c:pt idx="31">
                  <c:v>46905</c:v>
                </c:pt>
                <c:pt idx="32">
                  <c:v>46935</c:v>
                </c:pt>
                <c:pt idx="33">
                  <c:v>46966</c:v>
                </c:pt>
                <c:pt idx="34">
                  <c:v>46997</c:v>
                </c:pt>
                <c:pt idx="35">
                  <c:v>47027</c:v>
                </c:pt>
                <c:pt idx="36">
                  <c:v>47058</c:v>
                </c:pt>
                <c:pt idx="37">
                  <c:v>47088</c:v>
                </c:pt>
                <c:pt idx="38">
                  <c:v>47362</c:v>
                </c:pt>
              </c:numCache>
            </c:numRef>
          </c:cat>
          <c:val>
            <c:numRef>
              <c:f>BESS!$C$19:$C$57</c:f>
              <c:numCache>
                <c:formatCode>General</c:formatCode>
                <c:ptCount val="39"/>
                <c:pt idx="0">
                  <c:v>0</c:v>
                </c:pt>
                <c:pt idx="1">
                  <c:v>2</c:v>
                </c:pt>
                <c:pt idx="2">
                  <c:v>363</c:v>
                </c:pt>
                <c:pt idx="3">
                  <c:v>363</c:v>
                </c:pt>
                <c:pt idx="4">
                  <c:v>403</c:v>
                </c:pt>
                <c:pt idx="5">
                  <c:v>1338</c:v>
                </c:pt>
                <c:pt idx="6">
                  <c:v>1338</c:v>
                </c:pt>
                <c:pt idx="7">
                  <c:v>1338</c:v>
                </c:pt>
                <c:pt idx="8">
                  <c:v>4530</c:v>
                </c:pt>
                <c:pt idx="9">
                  <c:v>4785</c:v>
                </c:pt>
                <c:pt idx="10">
                  <c:v>6402</c:v>
                </c:pt>
                <c:pt idx="11">
                  <c:v>7802</c:v>
                </c:pt>
                <c:pt idx="12">
                  <c:v>10739</c:v>
                </c:pt>
                <c:pt idx="13">
                  <c:v>10846</c:v>
                </c:pt>
                <c:pt idx="14">
                  <c:v>11499</c:v>
                </c:pt>
                <c:pt idx="15">
                  <c:v>14194</c:v>
                </c:pt>
                <c:pt idx="16">
                  <c:v>14194</c:v>
                </c:pt>
                <c:pt idx="17">
                  <c:v>17938</c:v>
                </c:pt>
                <c:pt idx="18">
                  <c:v>18938</c:v>
                </c:pt>
                <c:pt idx="19">
                  <c:v>19938</c:v>
                </c:pt>
                <c:pt idx="20">
                  <c:v>20180</c:v>
                </c:pt>
                <c:pt idx="21">
                  <c:v>20205</c:v>
                </c:pt>
                <c:pt idx="22">
                  <c:v>20265</c:v>
                </c:pt>
                <c:pt idx="23">
                  <c:v>20265</c:v>
                </c:pt>
                <c:pt idx="24">
                  <c:v>20371</c:v>
                </c:pt>
                <c:pt idx="25">
                  <c:v>20407</c:v>
                </c:pt>
                <c:pt idx="26">
                  <c:v>20407</c:v>
                </c:pt>
                <c:pt idx="27">
                  <c:v>20443</c:v>
                </c:pt>
                <c:pt idx="28">
                  <c:v>20443</c:v>
                </c:pt>
                <c:pt idx="29">
                  <c:v>20458</c:v>
                </c:pt>
                <c:pt idx="30">
                  <c:v>20458</c:v>
                </c:pt>
                <c:pt idx="31">
                  <c:v>20482</c:v>
                </c:pt>
                <c:pt idx="32">
                  <c:v>20482</c:v>
                </c:pt>
                <c:pt idx="33">
                  <c:v>21098</c:v>
                </c:pt>
                <c:pt idx="34">
                  <c:v>21098</c:v>
                </c:pt>
                <c:pt idx="35">
                  <c:v>21938</c:v>
                </c:pt>
                <c:pt idx="36">
                  <c:v>21938</c:v>
                </c:pt>
                <c:pt idx="37">
                  <c:v>21938</c:v>
                </c:pt>
                <c:pt idx="38">
                  <c:v>21938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CD32-4296-A025-F69E662D3C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910478848"/>
        <c:axId val="910481760"/>
      </c:lineChart>
      <c:dateAx>
        <c:axId val="910478848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Mes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mmm\-yy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10481760"/>
        <c:crosses val="autoZero"/>
        <c:auto val="1"/>
        <c:lblOffset val="100"/>
        <c:baseTimeUnit val="months"/>
      </c:dateAx>
      <c:valAx>
        <c:axId val="91048176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Capacidad BESS Acumulada [MWh]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910478848"/>
        <c:crosses val="autoZero"/>
        <c:crossBetween val="between"/>
      </c:valAx>
      <c:valAx>
        <c:axId val="76883888"/>
        <c:scaling>
          <c:orientation val="minMax"/>
        </c:scaling>
        <c:delete val="0"/>
        <c:axPos val="r"/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s-MX"/>
                  <a:t>Capacidad BESS [MWh]</a:t>
                </a:r>
              </a:p>
            </c:rich>
          </c:tx>
          <c:layout/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s-MX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MX"/>
          </a:p>
        </c:txPr>
        <c:crossAx val="76890544"/>
        <c:crosses val="max"/>
        <c:crossBetween val="between"/>
      </c:valAx>
      <c:catAx>
        <c:axId val="76890544"/>
        <c:scaling>
          <c:orientation val="minMax"/>
        </c:scaling>
        <c:delete val="1"/>
        <c:axPos val="b"/>
        <c:majorTickMark val="out"/>
        <c:minorTickMark val="none"/>
        <c:tickLblPos val="nextTo"/>
        <c:crossAx val="76883888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cap="all" spc="5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GENERATION Installed capacity </a:t>
            </a:r>
            <a:endParaRPr lang="es-MX"/>
          </a:p>
          <a:p>
            <a:pPr>
              <a:defRPr/>
            </a:pPr>
            <a:r>
              <a:rPr lang="en-US"/>
              <a:t>(JUNE 2026)</a:t>
            </a:r>
            <a:endParaRPr lang="es-MX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title>
    <c:autoTitleDeleted val="0"/>
    <c:plotArea>
      <c:layout>
        <c:manualLayout>
          <c:layoutTarget val="inner"/>
          <c:xMode val="edge"/>
          <c:yMode val="edge"/>
          <c:x val="0.31312827275900862"/>
          <c:y val="0.1889986336681081"/>
          <c:w val="0.35798006283697298"/>
          <c:h val="0.6499995774231262"/>
        </c:manualLayout>
      </c:layout>
      <c:pieChart>
        <c:varyColors val="1"/>
        <c:ser>
          <c:idx val="0"/>
          <c:order val="0"/>
          <c:tx>
            <c:strRef>
              <c:f>'Energy Matrix'!$C$16</c:f>
              <c:strCache>
                <c:ptCount val="1"/>
                <c:pt idx="0">
                  <c:v>%</c:v>
                </c:pt>
              </c:strCache>
            </c:strRef>
          </c:tx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1-1143-454D-8A1A-053B8B06B97F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3-1143-454D-8A1A-053B8B06B97F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5-1143-454D-8A1A-053B8B06B97F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7-1143-454D-8A1A-053B8B06B97F}"/>
              </c:ext>
            </c:extLst>
          </c:dPt>
          <c:dPt>
            <c:idx val="4"/>
            <c:bubble3D val="0"/>
            <c:spPr>
              <a:solidFill>
                <a:schemeClr val="accent5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9-1143-454D-8A1A-053B8B06B97F}"/>
              </c:ext>
            </c:extLst>
          </c:dPt>
          <c:dPt>
            <c:idx val="5"/>
            <c:bubble3D val="0"/>
            <c:spPr>
              <a:solidFill>
                <a:schemeClr val="accent6"/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B-1143-454D-8A1A-053B8B06B97F}"/>
              </c:ext>
            </c:extLst>
          </c:dPt>
          <c:dPt>
            <c:idx val="6"/>
            <c:bubble3D val="0"/>
            <c:spPr>
              <a:solidFill>
                <a:schemeClr val="accent1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D-1143-454D-8A1A-053B8B06B97F}"/>
              </c:ext>
            </c:extLst>
          </c:dPt>
          <c:dPt>
            <c:idx val="7"/>
            <c:bubble3D val="0"/>
            <c:spPr>
              <a:solidFill>
                <a:schemeClr val="accent2">
                  <a:lumMod val="60000"/>
                </a:schemeClr>
              </a:solidFill>
              <a:ln>
                <a:noFill/>
              </a:ln>
              <a:effectLst/>
              <a:scene3d>
                <a:camera prst="orthographicFront"/>
                <a:lightRig rig="brightRoom" dir="t"/>
              </a:scene3d>
              <a:sp3d prstMaterial="flat">
                <a:bevelT w="50800" h="101600" prst="angle"/>
                <a:contourClr>
                  <a:srgbClr val="000000"/>
                </a:contourClr>
              </a:sp3d>
            </c:spPr>
            <c:extLst>
              <c:ext xmlns:c16="http://schemas.microsoft.com/office/drawing/2014/chart" uri="{C3380CC4-5D6E-409C-BE32-E72D297353CC}">
                <c16:uniqueId val="{0000000F-1143-454D-8A1A-053B8B06B97F}"/>
              </c:ext>
            </c:extLst>
          </c:dPt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MX"/>
              </a:p>
            </c:txPr>
            <c:dLblPos val="inEnd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>
                <c15:layout/>
              </c:ext>
            </c:extLst>
          </c:dLbls>
          <c:cat>
            <c:strRef>
              <c:f>'Energy Matrix'!$A$17:$A$24</c:f>
              <c:strCache>
                <c:ptCount val="8"/>
                <c:pt idx="0">
                  <c:v>Hydric</c:v>
                </c:pt>
                <c:pt idx="1">
                  <c:v>Natural Gas</c:v>
                </c:pt>
                <c:pt idx="2">
                  <c:v>Coal</c:v>
                </c:pt>
                <c:pt idx="3">
                  <c:v>Diesel</c:v>
                </c:pt>
                <c:pt idx="4">
                  <c:v>Other thermal</c:v>
                </c:pt>
                <c:pt idx="5">
                  <c:v>Eolic</c:v>
                </c:pt>
                <c:pt idx="6">
                  <c:v>Solar (PV +Thermal)</c:v>
                </c:pt>
                <c:pt idx="7">
                  <c:v>Geothermal</c:v>
                </c:pt>
              </c:strCache>
            </c:strRef>
          </c:cat>
          <c:val>
            <c:numRef>
              <c:f>'Energy Matrix'!$C$17:$C$24</c:f>
              <c:numCache>
                <c:formatCode>0.0%</c:formatCode>
                <c:ptCount val="8"/>
                <c:pt idx="0">
                  <c:v>0.18539532646520374</c:v>
                </c:pt>
                <c:pt idx="1">
                  <c:v>0.13213950908742877</c:v>
                </c:pt>
                <c:pt idx="2">
                  <c:v>7.7013688813848818E-2</c:v>
                </c:pt>
                <c:pt idx="3">
                  <c:v>7.5747387640311567E-2</c:v>
                </c:pt>
                <c:pt idx="4">
                  <c:v>2.2297698571239258E-2</c:v>
                </c:pt>
                <c:pt idx="5">
                  <c:v>0.169586194372322</c:v>
                </c:pt>
                <c:pt idx="6">
                  <c:v>0.33549128068203571</c:v>
                </c:pt>
                <c:pt idx="7">
                  <c:v>2.3289143676101759E-3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997-4255-A250-D56AB42288FE}"/>
            </c:ext>
          </c:extLst>
        </c:ser>
        <c:dLbls>
          <c:dLblPos val="inEnd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t"/>
      <c:layout>
        <c:manualLayout>
          <c:xMode val="edge"/>
          <c:yMode val="edge"/>
          <c:x val="6.5520965051782329E-2"/>
          <c:y val="0.90583184257602867"/>
          <c:w val="0.84139832948231896"/>
          <c:h val="5.2652474602921134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MX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MX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58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defRPr sz="900" b="1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scene3d>
        <a:camera prst="orthographicFront"/>
        <a:lightRig rig="brightRoom" dir="t"/>
      </a:scene3d>
      <a:sp3d prstMaterial="flat">
        <a:bevelT w="50800" h="101600" prst="angle"/>
        <a:contourClr>
          <a:srgbClr val="000000"/>
        </a:contourClr>
      </a:sp3d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1905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1" i="0" kern="1200" cap="all" spc="5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425174</xdr:colOff>
      <xdr:row>18</xdr:row>
      <xdr:rowOff>77304</xdr:rowOff>
    </xdr:from>
    <xdr:to>
      <xdr:col>22</xdr:col>
      <xdr:colOff>154607</xdr:colOff>
      <xdr:row>51</xdr:row>
      <xdr:rowOff>44174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6350</xdr:colOff>
      <xdr:row>1</xdr:row>
      <xdr:rowOff>0</xdr:rowOff>
    </xdr:from>
    <xdr:to>
      <xdr:col>19</xdr:col>
      <xdr:colOff>596900</xdr:colOff>
      <xdr:row>17</xdr:row>
      <xdr:rowOff>171450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AE57"/>
  <sheetViews>
    <sheetView tabSelected="1" topLeftCell="N1" zoomScale="88" zoomScaleNormal="88" workbookViewId="0">
      <selection activeCell="AH5" sqref="AH5"/>
    </sheetView>
  </sheetViews>
  <sheetFormatPr defaultRowHeight="14.5" x14ac:dyDescent="0.35"/>
  <cols>
    <col min="1" max="1" width="8.90625" bestFit="1" customWidth="1"/>
    <col min="2" max="2" width="21.81640625" bestFit="1" customWidth="1"/>
    <col min="3" max="3" width="11.26953125" bestFit="1" customWidth="1"/>
    <col min="7" max="7" width="9.90625" bestFit="1" customWidth="1"/>
    <col min="26" max="26" width="11.26953125" bestFit="1" customWidth="1"/>
    <col min="29" max="29" width="9.90625" bestFit="1" customWidth="1"/>
    <col min="30" max="30" width="11.6328125" bestFit="1" customWidth="1"/>
    <col min="31" max="31" width="6.36328125" bestFit="1" customWidth="1"/>
  </cols>
  <sheetData>
    <row r="2" spans="2:31" x14ac:dyDescent="0.35">
      <c r="B2" s="15" t="s">
        <v>18</v>
      </c>
      <c r="C2" s="15"/>
      <c r="D2" s="15"/>
      <c r="E2" s="15"/>
      <c r="G2" s="15" t="s">
        <v>19</v>
      </c>
      <c r="H2" s="15"/>
      <c r="I2" s="15"/>
      <c r="J2" s="15"/>
      <c r="L2" s="15" t="s">
        <v>20</v>
      </c>
      <c r="M2" s="15"/>
      <c r="N2" s="15"/>
      <c r="O2" s="15"/>
      <c r="P2" s="15"/>
      <c r="R2" s="15" t="s">
        <v>21</v>
      </c>
      <c r="S2" s="15"/>
      <c r="T2" s="15"/>
      <c r="W2" s="15" t="s">
        <v>16</v>
      </c>
      <c r="X2" s="15"/>
      <c r="Y2" s="15"/>
      <c r="Z2" s="15"/>
      <c r="AA2" s="15"/>
      <c r="AC2" s="15" t="s">
        <v>17</v>
      </c>
      <c r="AD2" s="15"/>
      <c r="AE2" s="15"/>
    </row>
    <row r="3" spans="2:31" x14ac:dyDescent="0.35">
      <c r="B3" s="1"/>
      <c r="C3" s="1" t="s">
        <v>13</v>
      </c>
      <c r="D3" s="1" t="s">
        <v>14</v>
      </c>
      <c r="E3" s="1" t="s">
        <v>15</v>
      </c>
      <c r="G3" s="1"/>
      <c r="H3" s="1" t="s">
        <v>0</v>
      </c>
      <c r="I3" s="1" t="s">
        <v>13</v>
      </c>
      <c r="J3" s="1" t="s">
        <v>15</v>
      </c>
      <c r="L3" s="1"/>
      <c r="M3" s="1" t="s">
        <v>13</v>
      </c>
      <c r="N3" s="1" t="s">
        <v>14</v>
      </c>
      <c r="O3" s="1" t="s">
        <v>43</v>
      </c>
      <c r="P3" s="1" t="s">
        <v>15</v>
      </c>
      <c r="R3" s="1"/>
      <c r="S3" s="1" t="s">
        <v>13</v>
      </c>
      <c r="T3" s="1" t="s">
        <v>15</v>
      </c>
      <c r="W3" s="1"/>
      <c r="X3" s="1" t="s">
        <v>0</v>
      </c>
      <c r="Y3" s="1" t="s">
        <v>13</v>
      </c>
      <c r="Z3" s="1" t="s">
        <v>14</v>
      </c>
      <c r="AA3" s="1" t="s">
        <v>15</v>
      </c>
      <c r="AC3" s="1"/>
      <c r="AD3" s="1" t="s">
        <v>13</v>
      </c>
      <c r="AE3" s="1" t="s">
        <v>15</v>
      </c>
    </row>
    <row r="4" spans="2:31" x14ac:dyDescent="0.35">
      <c r="B4" s="1" t="s">
        <v>1</v>
      </c>
      <c r="C4" s="1">
        <v>2159</v>
      </c>
      <c r="D4" s="1">
        <v>1584</v>
      </c>
      <c r="E4" s="1">
        <v>1575</v>
      </c>
      <c r="G4" s="1" t="s">
        <v>1</v>
      </c>
      <c r="H4" s="1">
        <f>2+50+250+1812+1704+1100</f>
        <v>4918</v>
      </c>
      <c r="I4" s="1">
        <v>8662</v>
      </c>
      <c r="J4" s="1">
        <v>6384</v>
      </c>
      <c r="L4" s="1" t="s">
        <v>1</v>
      </c>
      <c r="M4" s="1">
        <v>1065</v>
      </c>
      <c r="N4" s="1">
        <v>1601</v>
      </c>
      <c r="O4" s="1">
        <f>1914.9*0.2</f>
        <v>382.98</v>
      </c>
      <c r="P4" s="1">
        <v>746</v>
      </c>
      <c r="R4" s="1" t="s">
        <v>1</v>
      </c>
      <c r="S4" s="1">
        <v>4900</v>
      </c>
      <c r="T4" s="1">
        <v>2688</v>
      </c>
      <c r="W4" s="1" t="s">
        <v>1</v>
      </c>
      <c r="X4" s="1">
        <v>7253</v>
      </c>
      <c r="Y4" s="1">
        <v>6731</v>
      </c>
      <c r="Z4" s="1">
        <v>5783</v>
      </c>
      <c r="AA4" s="1">
        <v>7278</v>
      </c>
      <c r="AC4" s="1" t="s">
        <v>1</v>
      </c>
      <c r="AD4" s="1">
        <v>30374</v>
      </c>
      <c r="AE4" s="1">
        <v>32504</v>
      </c>
    </row>
    <row r="5" spans="2:31" x14ac:dyDescent="0.35">
      <c r="B5" s="1" t="s">
        <v>2</v>
      </c>
      <c r="C5" s="1">
        <v>2480</v>
      </c>
      <c r="D5" s="1">
        <v>1700</v>
      </c>
      <c r="E5" s="1">
        <v>1691</v>
      </c>
      <c r="G5" s="1" t="s">
        <v>2</v>
      </c>
      <c r="H5" s="1">
        <f>2+250+900+621+5240</f>
        <v>7013</v>
      </c>
      <c r="I5" s="1">
        <v>8174</v>
      </c>
      <c r="J5" s="1">
        <v>6964</v>
      </c>
      <c r="L5" s="1" t="s">
        <v>2</v>
      </c>
      <c r="M5" s="1">
        <v>988</v>
      </c>
      <c r="N5" s="1">
        <v>1531</v>
      </c>
      <c r="O5" s="1">
        <f>2741.3*0.292</f>
        <v>800.45960000000002</v>
      </c>
      <c r="P5" s="1">
        <v>1486</v>
      </c>
      <c r="R5" s="1" t="s">
        <v>2</v>
      </c>
      <c r="S5" s="1">
        <v>3381</v>
      </c>
      <c r="T5" s="1">
        <v>5972</v>
      </c>
      <c r="W5" s="1" t="s">
        <v>2</v>
      </c>
      <c r="X5" s="1">
        <v>6571</v>
      </c>
      <c r="Y5" s="1">
        <v>6660</v>
      </c>
      <c r="Z5" s="1">
        <v>6179</v>
      </c>
      <c r="AA5" s="1">
        <v>6596</v>
      </c>
      <c r="AC5" s="1" t="s">
        <v>2</v>
      </c>
      <c r="AD5" s="1">
        <v>23327</v>
      </c>
      <c r="AE5" s="1">
        <v>29473</v>
      </c>
    </row>
    <row r="6" spans="2:31" x14ac:dyDescent="0.35">
      <c r="B6" s="1" t="s">
        <v>3</v>
      </c>
      <c r="C6" s="1">
        <v>2529</v>
      </c>
      <c r="D6" s="1">
        <v>2071</v>
      </c>
      <c r="E6" s="1"/>
      <c r="G6" s="1" t="s">
        <v>3</v>
      </c>
      <c r="H6" s="1">
        <f>2+250+621+5240+55</f>
        <v>6168</v>
      </c>
      <c r="I6" s="1">
        <v>8786</v>
      </c>
      <c r="J6" s="1"/>
      <c r="L6" s="1" t="s">
        <v>3</v>
      </c>
      <c r="M6" s="1">
        <v>1255</v>
      </c>
      <c r="N6" s="1">
        <v>2119</v>
      </c>
      <c r="O6" s="1">
        <f>2720.4*0.444</f>
        <v>1207.8576</v>
      </c>
      <c r="P6" s="1"/>
      <c r="R6" s="1" t="s">
        <v>3</v>
      </c>
      <c r="S6" s="1">
        <v>3699</v>
      </c>
      <c r="T6" s="1"/>
      <c r="W6" s="1" t="s">
        <v>3</v>
      </c>
      <c r="X6" s="1">
        <v>6358</v>
      </c>
      <c r="Y6" s="1">
        <v>6361</v>
      </c>
      <c r="Z6" s="1">
        <v>5646</v>
      </c>
      <c r="AA6" s="1"/>
      <c r="AC6" s="1" t="s">
        <v>3</v>
      </c>
      <c r="AD6" s="1">
        <v>22479</v>
      </c>
      <c r="AE6" s="1"/>
    </row>
    <row r="7" spans="2:31" x14ac:dyDescent="0.35">
      <c r="B7" s="1" t="s">
        <v>4</v>
      </c>
      <c r="C7" s="1">
        <v>3293</v>
      </c>
      <c r="D7" s="1">
        <v>2071</v>
      </c>
      <c r="E7" s="1">
        <v>2063</v>
      </c>
      <c r="G7" s="1" t="s">
        <v>4</v>
      </c>
      <c r="H7" s="1"/>
      <c r="I7" s="1">
        <v>13174</v>
      </c>
      <c r="J7" s="1">
        <v>8477</v>
      </c>
      <c r="L7" s="1" t="s">
        <v>4</v>
      </c>
      <c r="M7" s="1">
        <v>1301</v>
      </c>
      <c r="N7" s="1">
        <v>2225</v>
      </c>
      <c r="O7" s="1">
        <f>2883*0.418</f>
        <v>1205.0940000000001</v>
      </c>
      <c r="P7" s="1">
        <v>2124</v>
      </c>
      <c r="R7" s="1" t="s">
        <v>4</v>
      </c>
      <c r="S7" s="1">
        <v>4163</v>
      </c>
      <c r="T7" s="1">
        <v>9730</v>
      </c>
      <c r="W7" s="1" t="s">
        <v>4</v>
      </c>
      <c r="Y7" s="1">
        <v>5684</v>
      </c>
      <c r="Z7" s="1">
        <v>5799</v>
      </c>
      <c r="AA7" s="1">
        <v>5977</v>
      </c>
      <c r="AC7" s="1" t="s">
        <v>4</v>
      </c>
      <c r="AD7" s="1">
        <v>24929</v>
      </c>
      <c r="AE7" s="1">
        <v>25896</v>
      </c>
    </row>
    <row r="8" spans="2:31" x14ac:dyDescent="0.35">
      <c r="B8" s="1" t="s">
        <v>5</v>
      </c>
      <c r="C8" s="1">
        <v>3293</v>
      </c>
      <c r="D8" s="1">
        <v>2071</v>
      </c>
      <c r="E8" s="1">
        <v>2063</v>
      </c>
      <c r="G8" s="1" t="s">
        <v>5</v>
      </c>
      <c r="H8" s="1">
        <v>3898</v>
      </c>
      <c r="I8" s="1">
        <v>15271</v>
      </c>
      <c r="J8" s="1">
        <v>8777</v>
      </c>
      <c r="L8" s="1" t="s">
        <v>5</v>
      </c>
      <c r="M8" s="1">
        <v>1709</v>
      </c>
      <c r="N8" s="1">
        <v>2524</v>
      </c>
      <c r="O8" s="1">
        <f>3031.8*0.553</f>
        <v>1676.5854000000002</v>
      </c>
      <c r="P8" s="1">
        <v>2425</v>
      </c>
      <c r="R8" s="1" t="s">
        <v>5</v>
      </c>
      <c r="S8" s="1">
        <v>7297</v>
      </c>
      <c r="T8" s="1">
        <v>11275</v>
      </c>
      <c r="W8" s="1" t="s">
        <v>5</v>
      </c>
      <c r="X8" s="1">
        <v>5728</v>
      </c>
      <c r="Y8" s="1">
        <v>5554</v>
      </c>
      <c r="Z8" s="1">
        <v>5639</v>
      </c>
      <c r="AA8" s="1">
        <v>5746</v>
      </c>
      <c r="AC8" s="1" t="s">
        <v>5</v>
      </c>
      <c r="AD8" s="1">
        <v>24061</v>
      </c>
      <c r="AE8" s="1">
        <v>24638</v>
      </c>
    </row>
    <row r="9" spans="2:31" x14ac:dyDescent="0.35">
      <c r="B9" s="1" t="s">
        <v>6</v>
      </c>
      <c r="C9" s="1"/>
      <c r="D9" s="1">
        <v>2291</v>
      </c>
      <c r="E9" s="1">
        <v>2318</v>
      </c>
      <c r="G9" s="1" t="s">
        <v>6</v>
      </c>
      <c r="H9" s="1"/>
      <c r="I9" s="1"/>
      <c r="J9" s="1">
        <v>10057</v>
      </c>
      <c r="L9" s="1" t="s">
        <v>6</v>
      </c>
      <c r="M9" s="1"/>
      <c r="N9" s="1">
        <v>2760</v>
      </c>
      <c r="O9" s="1"/>
      <c r="P9" s="1">
        <v>2958</v>
      </c>
      <c r="R9" s="1" t="s">
        <v>6</v>
      </c>
      <c r="S9" s="1"/>
      <c r="T9" s="1">
        <v>13593</v>
      </c>
      <c r="W9" s="1" t="s">
        <v>6</v>
      </c>
      <c r="X9" s="14">
        <v>5219</v>
      </c>
      <c r="Y9" s="1"/>
      <c r="Z9" s="1">
        <f>+(4705+505)</f>
        <v>5210</v>
      </c>
      <c r="AA9" s="1">
        <v>4897</v>
      </c>
      <c r="AC9" s="1" t="s">
        <v>6</v>
      </c>
      <c r="AD9" s="1"/>
      <c r="AE9" s="1">
        <v>21175</v>
      </c>
    </row>
    <row r="10" spans="2:31" x14ac:dyDescent="0.35">
      <c r="B10" s="1" t="s">
        <v>7</v>
      </c>
      <c r="C10" s="1"/>
      <c r="D10" s="1"/>
      <c r="E10" s="1"/>
      <c r="G10" s="1" t="s">
        <v>7</v>
      </c>
      <c r="H10" s="1"/>
      <c r="I10" s="1"/>
      <c r="J10" s="1"/>
      <c r="L10" s="1" t="s">
        <v>7</v>
      </c>
      <c r="M10" s="1"/>
      <c r="N10" s="1"/>
      <c r="O10" s="1"/>
      <c r="P10" s="1"/>
      <c r="R10" s="1" t="s">
        <v>7</v>
      </c>
      <c r="S10" s="1"/>
      <c r="T10" s="1"/>
      <c r="W10" s="1" t="s">
        <v>7</v>
      </c>
      <c r="X10" s="1"/>
      <c r="Y10" s="1"/>
      <c r="Z10" s="1"/>
      <c r="AA10" s="1"/>
      <c r="AC10" s="1" t="s">
        <v>7</v>
      </c>
      <c r="AD10" s="1"/>
      <c r="AE10" s="1"/>
    </row>
    <row r="11" spans="2:31" x14ac:dyDescent="0.35">
      <c r="B11" s="1" t="s">
        <v>8</v>
      </c>
      <c r="C11" s="1"/>
      <c r="D11" s="1"/>
      <c r="E11" s="1"/>
      <c r="G11" s="1" t="s">
        <v>8</v>
      </c>
      <c r="H11" s="1"/>
      <c r="I11" s="1"/>
      <c r="J11" s="1"/>
      <c r="L11" s="1" t="s">
        <v>8</v>
      </c>
      <c r="M11" s="1"/>
      <c r="N11" s="1"/>
      <c r="O11" s="1"/>
      <c r="P11" s="1"/>
      <c r="R11" s="1" t="s">
        <v>8</v>
      </c>
      <c r="S11" s="1"/>
      <c r="T11" s="1"/>
      <c r="W11" s="1" t="s">
        <v>8</v>
      </c>
      <c r="X11" s="1"/>
      <c r="Y11" s="1"/>
      <c r="Z11" s="1"/>
      <c r="AA11" s="1"/>
      <c r="AC11" s="1" t="s">
        <v>8</v>
      </c>
      <c r="AD11" s="1"/>
      <c r="AE11" s="1"/>
    </row>
    <row r="12" spans="2:31" x14ac:dyDescent="0.35">
      <c r="B12" s="1" t="s">
        <v>9</v>
      </c>
      <c r="C12" s="1"/>
      <c r="D12" s="1"/>
      <c r="E12" s="1"/>
      <c r="G12" s="1" t="s">
        <v>9</v>
      </c>
      <c r="H12" s="1"/>
      <c r="I12" s="1"/>
      <c r="J12" s="1"/>
      <c r="L12" s="1" t="s">
        <v>9</v>
      </c>
      <c r="M12" s="1"/>
      <c r="N12" s="1"/>
      <c r="O12" s="1"/>
      <c r="P12" s="1"/>
      <c r="R12" s="1" t="s">
        <v>9</v>
      </c>
      <c r="S12" s="1"/>
      <c r="T12" s="1"/>
      <c r="W12" s="1" t="s">
        <v>9</v>
      </c>
      <c r="X12" s="1"/>
      <c r="Y12" s="1"/>
      <c r="Z12" s="1"/>
      <c r="AA12" s="1"/>
      <c r="AC12" s="1" t="s">
        <v>9</v>
      </c>
      <c r="AD12" s="1"/>
      <c r="AE12" s="1"/>
    </row>
    <row r="13" spans="2:31" x14ac:dyDescent="0.35">
      <c r="B13" s="1" t="s">
        <v>10</v>
      </c>
      <c r="C13" s="1"/>
      <c r="D13" s="1"/>
      <c r="E13" s="1"/>
      <c r="G13" s="1" t="s">
        <v>10</v>
      </c>
      <c r="H13" s="1"/>
      <c r="I13" s="1"/>
      <c r="J13" s="1"/>
      <c r="L13" s="1" t="s">
        <v>10</v>
      </c>
      <c r="M13" s="1"/>
      <c r="N13" s="1"/>
      <c r="O13" s="1"/>
      <c r="P13" s="1"/>
      <c r="R13" s="1" t="s">
        <v>10</v>
      </c>
      <c r="S13" s="1"/>
      <c r="T13" s="1"/>
      <c r="W13" s="1" t="s">
        <v>10</v>
      </c>
      <c r="X13" s="1"/>
      <c r="Y13" s="1"/>
      <c r="Z13" s="1"/>
      <c r="AA13" s="1"/>
      <c r="AC13" s="1" t="s">
        <v>10</v>
      </c>
      <c r="AD13" s="1"/>
      <c r="AE13" s="1"/>
    </row>
    <row r="14" spans="2:31" x14ac:dyDescent="0.35">
      <c r="B14" s="1" t="s">
        <v>11</v>
      </c>
      <c r="C14" s="1"/>
      <c r="D14" s="1"/>
      <c r="E14" s="1"/>
      <c r="G14" s="1" t="s">
        <v>11</v>
      </c>
      <c r="H14" s="1"/>
      <c r="I14" s="1"/>
      <c r="J14" s="1"/>
      <c r="L14" s="1" t="s">
        <v>11</v>
      </c>
      <c r="M14" s="1"/>
      <c r="N14" s="1"/>
      <c r="O14" s="1"/>
      <c r="P14" s="1"/>
      <c r="R14" s="1" t="s">
        <v>11</v>
      </c>
      <c r="S14" s="1"/>
      <c r="T14" s="1"/>
      <c r="W14" s="1" t="s">
        <v>11</v>
      </c>
      <c r="X14" s="1"/>
      <c r="Y14" s="1"/>
      <c r="Z14" s="1"/>
      <c r="AA14" s="1"/>
      <c r="AC14" s="1" t="s">
        <v>11</v>
      </c>
      <c r="AD14" s="1"/>
      <c r="AE14" s="1"/>
    </row>
    <row r="15" spans="2:31" x14ac:dyDescent="0.35">
      <c r="B15" s="1" t="s">
        <v>12</v>
      </c>
      <c r="C15" s="1"/>
      <c r="D15" s="1"/>
      <c r="E15" s="1"/>
      <c r="G15" s="1" t="s">
        <v>12</v>
      </c>
      <c r="H15" s="1"/>
      <c r="I15" s="1"/>
      <c r="J15" s="1"/>
      <c r="L15" s="1" t="s">
        <v>12</v>
      </c>
      <c r="M15" s="1"/>
      <c r="N15" s="1"/>
      <c r="O15" s="1"/>
      <c r="P15" s="1"/>
      <c r="R15" s="1" t="s">
        <v>12</v>
      </c>
      <c r="S15" s="1"/>
      <c r="T15" s="1"/>
      <c r="W15" s="1" t="s">
        <v>12</v>
      </c>
      <c r="X15" s="1"/>
      <c r="Y15" s="1"/>
      <c r="Z15" s="1"/>
      <c r="AA15" s="1"/>
      <c r="AC15" s="1" t="s">
        <v>12</v>
      </c>
      <c r="AD15" s="1"/>
      <c r="AE15" s="1"/>
    </row>
    <row r="17" spans="1:4" x14ac:dyDescent="0.35">
      <c r="A17" s="2" t="s">
        <v>24</v>
      </c>
      <c r="B17" s="2"/>
      <c r="C17" s="2"/>
      <c r="D17" s="1"/>
    </row>
    <row r="18" spans="1:4" x14ac:dyDescent="0.35">
      <c r="A18" s="1" t="s">
        <v>22</v>
      </c>
      <c r="B18" s="1" t="s">
        <v>23</v>
      </c>
      <c r="C18" s="1" t="s">
        <v>25</v>
      </c>
      <c r="D18" s="1" t="s">
        <v>26</v>
      </c>
    </row>
    <row r="19" spans="1:4" x14ac:dyDescent="0.35">
      <c r="A19" s="3">
        <v>45413</v>
      </c>
      <c r="B19" s="1">
        <v>2024</v>
      </c>
      <c r="C19" s="1">
        <v>0</v>
      </c>
      <c r="D19" s="1">
        <v>2</v>
      </c>
    </row>
    <row r="20" spans="1:4" x14ac:dyDescent="0.35">
      <c r="A20" s="3">
        <v>45778</v>
      </c>
      <c r="B20" s="1">
        <v>2025</v>
      </c>
      <c r="C20" s="1">
        <f t="shared" ref="C20:C21" si="0">+C19+D19</f>
        <v>2</v>
      </c>
      <c r="D20" s="1">
        <v>361</v>
      </c>
    </row>
    <row r="21" spans="1:4" x14ac:dyDescent="0.35">
      <c r="A21" s="3">
        <v>46023</v>
      </c>
      <c r="B21" s="1">
        <v>2026</v>
      </c>
      <c r="C21" s="1">
        <f t="shared" si="0"/>
        <v>363</v>
      </c>
      <c r="D21" s="1">
        <v>0</v>
      </c>
    </row>
    <row r="22" spans="1:4" x14ac:dyDescent="0.35">
      <c r="A22" s="3">
        <v>46054</v>
      </c>
      <c r="B22" s="1">
        <v>2026</v>
      </c>
      <c r="C22" s="1">
        <f>+C21+D21</f>
        <v>363</v>
      </c>
      <c r="D22" s="1">
        <v>40</v>
      </c>
    </row>
    <row r="23" spans="1:4" x14ac:dyDescent="0.35">
      <c r="A23" s="3">
        <v>46082</v>
      </c>
      <c r="B23" s="1">
        <v>2026</v>
      </c>
      <c r="C23" s="1">
        <f t="shared" ref="C23:C57" si="1">+C22+D22</f>
        <v>403</v>
      </c>
      <c r="D23" s="1">
        <v>935</v>
      </c>
    </row>
    <row r="24" spans="1:4" x14ac:dyDescent="0.35">
      <c r="A24" s="3">
        <v>46113</v>
      </c>
      <c r="B24" s="1">
        <v>2026</v>
      </c>
      <c r="C24" s="1">
        <f t="shared" si="1"/>
        <v>1338</v>
      </c>
      <c r="D24" s="1">
        <v>0</v>
      </c>
    </row>
    <row r="25" spans="1:4" x14ac:dyDescent="0.35">
      <c r="A25" s="3">
        <v>46143</v>
      </c>
      <c r="B25" s="1">
        <v>2026</v>
      </c>
      <c r="C25" s="1">
        <f t="shared" si="1"/>
        <v>1338</v>
      </c>
      <c r="D25" s="1">
        <v>0</v>
      </c>
    </row>
    <row r="26" spans="1:4" x14ac:dyDescent="0.35">
      <c r="A26" s="3">
        <v>46174</v>
      </c>
      <c r="B26" s="1">
        <v>2026</v>
      </c>
      <c r="C26" s="1">
        <f t="shared" si="1"/>
        <v>1338</v>
      </c>
      <c r="D26" s="1">
        <v>3192</v>
      </c>
    </row>
    <row r="27" spans="1:4" x14ac:dyDescent="0.35">
      <c r="A27" s="3">
        <v>46204</v>
      </c>
      <c r="B27" s="1">
        <v>2026</v>
      </c>
      <c r="C27" s="1">
        <f t="shared" si="1"/>
        <v>4530</v>
      </c>
      <c r="D27" s="1">
        <v>255</v>
      </c>
    </row>
    <row r="28" spans="1:4" x14ac:dyDescent="0.35">
      <c r="A28" s="3">
        <v>46235</v>
      </c>
      <c r="B28" s="1">
        <v>2026</v>
      </c>
      <c r="C28" s="1">
        <f t="shared" si="1"/>
        <v>4785</v>
      </c>
      <c r="D28" s="1">
        <v>1617</v>
      </c>
    </row>
    <row r="29" spans="1:4" x14ac:dyDescent="0.35">
      <c r="A29" s="3">
        <v>46266</v>
      </c>
      <c r="B29" s="1">
        <v>2026</v>
      </c>
      <c r="C29" s="1">
        <f t="shared" si="1"/>
        <v>6402</v>
      </c>
      <c r="D29" s="1">
        <v>1400</v>
      </c>
    </row>
    <row r="30" spans="1:4" x14ac:dyDescent="0.35">
      <c r="A30" s="3">
        <v>46296</v>
      </c>
      <c r="B30" s="1">
        <v>2026</v>
      </c>
      <c r="C30" s="1">
        <f t="shared" si="1"/>
        <v>7802</v>
      </c>
      <c r="D30" s="1">
        <v>2937</v>
      </c>
    </row>
    <row r="31" spans="1:4" x14ac:dyDescent="0.35">
      <c r="A31" s="3">
        <v>46327</v>
      </c>
      <c r="B31" s="1">
        <v>2026</v>
      </c>
      <c r="C31" s="1">
        <f t="shared" si="1"/>
        <v>10739</v>
      </c>
      <c r="D31" s="1">
        <v>107</v>
      </c>
    </row>
    <row r="32" spans="1:4" x14ac:dyDescent="0.35">
      <c r="A32" s="3">
        <v>46357</v>
      </c>
      <c r="B32" s="1">
        <v>2026</v>
      </c>
      <c r="C32" s="1">
        <f t="shared" si="1"/>
        <v>10846</v>
      </c>
      <c r="D32" s="1">
        <v>653</v>
      </c>
    </row>
    <row r="33" spans="1:4" x14ac:dyDescent="0.35">
      <c r="A33" s="3">
        <v>46388</v>
      </c>
      <c r="B33" s="1">
        <v>2027</v>
      </c>
      <c r="C33" s="1">
        <f t="shared" si="1"/>
        <v>11499</v>
      </c>
      <c r="D33" s="1">
        <v>2695</v>
      </c>
    </row>
    <row r="34" spans="1:4" x14ac:dyDescent="0.35">
      <c r="A34" s="3">
        <v>46419</v>
      </c>
      <c r="B34" s="1">
        <v>2027</v>
      </c>
      <c r="C34" s="1">
        <f t="shared" si="1"/>
        <v>14194</v>
      </c>
      <c r="D34" s="1">
        <v>0</v>
      </c>
    </row>
    <row r="35" spans="1:4" x14ac:dyDescent="0.35">
      <c r="A35" s="3">
        <v>46447</v>
      </c>
      <c r="B35" s="1">
        <v>2027</v>
      </c>
      <c r="C35" s="1">
        <f t="shared" si="1"/>
        <v>14194</v>
      </c>
      <c r="D35" s="1">
        <v>3744</v>
      </c>
    </row>
    <row r="36" spans="1:4" x14ac:dyDescent="0.35">
      <c r="A36" s="3">
        <v>46478</v>
      </c>
      <c r="B36" s="1">
        <v>2027</v>
      </c>
      <c r="C36" s="1">
        <f t="shared" si="1"/>
        <v>17938</v>
      </c>
      <c r="D36" s="1">
        <v>1000</v>
      </c>
    </row>
    <row r="37" spans="1:4" x14ac:dyDescent="0.35">
      <c r="A37" s="3">
        <v>46508</v>
      </c>
      <c r="B37" s="1">
        <v>2027</v>
      </c>
      <c r="C37" s="1">
        <f t="shared" si="1"/>
        <v>18938</v>
      </c>
      <c r="D37" s="1">
        <v>1000</v>
      </c>
    </row>
    <row r="38" spans="1:4" x14ac:dyDescent="0.35">
      <c r="A38" s="3">
        <v>46539</v>
      </c>
      <c r="B38" s="1">
        <v>2027</v>
      </c>
      <c r="C38" s="1">
        <f t="shared" si="1"/>
        <v>19938</v>
      </c>
      <c r="D38" s="1">
        <v>242</v>
      </c>
    </row>
    <row r="39" spans="1:4" x14ac:dyDescent="0.35">
      <c r="A39" s="3">
        <v>46569</v>
      </c>
      <c r="B39" s="1">
        <v>2027</v>
      </c>
      <c r="C39" s="1">
        <f t="shared" si="1"/>
        <v>20180</v>
      </c>
      <c r="D39" s="1">
        <v>25</v>
      </c>
    </row>
    <row r="40" spans="1:4" x14ac:dyDescent="0.35">
      <c r="A40" s="3">
        <v>46600</v>
      </c>
      <c r="B40" s="1">
        <v>2027</v>
      </c>
      <c r="C40" s="1">
        <f t="shared" si="1"/>
        <v>20205</v>
      </c>
      <c r="D40" s="1">
        <v>60</v>
      </c>
    </row>
    <row r="41" spans="1:4" x14ac:dyDescent="0.35">
      <c r="A41" s="3">
        <v>46631</v>
      </c>
      <c r="B41" s="1">
        <v>2027</v>
      </c>
      <c r="C41" s="1">
        <f t="shared" si="1"/>
        <v>20265</v>
      </c>
      <c r="D41" s="1">
        <v>0</v>
      </c>
    </row>
    <row r="42" spans="1:4" x14ac:dyDescent="0.35">
      <c r="A42" s="3">
        <v>46661</v>
      </c>
      <c r="B42" s="1">
        <v>2027</v>
      </c>
      <c r="C42" s="1">
        <f t="shared" si="1"/>
        <v>20265</v>
      </c>
      <c r="D42" s="1">
        <v>106</v>
      </c>
    </row>
    <row r="43" spans="1:4" x14ac:dyDescent="0.35">
      <c r="A43" s="3">
        <v>46692</v>
      </c>
      <c r="B43" s="1">
        <v>2027</v>
      </c>
      <c r="C43" s="1">
        <f t="shared" si="1"/>
        <v>20371</v>
      </c>
      <c r="D43" s="1">
        <v>36</v>
      </c>
    </row>
    <row r="44" spans="1:4" x14ac:dyDescent="0.35">
      <c r="A44" s="3">
        <v>46722</v>
      </c>
      <c r="B44" s="1">
        <v>2027</v>
      </c>
      <c r="C44" s="1">
        <f t="shared" si="1"/>
        <v>20407</v>
      </c>
      <c r="D44" s="1">
        <v>0</v>
      </c>
    </row>
    <row r="45" spans="1:4" x14ac:dyDescent="0.35">
      <c r="A45" s="3">
        <v>46753</v>
      </c>
      <c r="B45" s="1">
        <v>2028</v>
      </c>
      <c r="C45" s="1">
        <f t="shared" si="1"/>
        <v>20407</v>
      </c>
      <c r="D45" s="1">
        <v>36</v>
      </c>
    </row>
    <row r="46" spans="1:4" x14ac:dyDescent="0.35">
      <c r="A46" s="3">
        <v>46784</v>
      </c>
      <c r="B46" s="1">
        <v>2028</v>
      </c>
      <c r="C46" s="1">
        <f t="shared" si="1"/>
        <v>20443</v>
      </c>
      <c r="D46" s="1">
        <v>0</v>
      </c>
    </row>
    <row r="47" spans="1:4" x14ac:dyDescent="0.35">
      <c r="A47" s="3">
        <v>46813</v>
      </c>
      <c r="B47" s="1">
        <v>2028</v>
      </c>
      <c r="C47" s="1">
        <f t="shared" si="1"/>
        <v>20443</v>
      </c>
      <c r="D47" s="1">
        <v>15</v>
      </c>
    </row>
    <row r="48" spans="1:4" x14ac:dyDescent="0.35">
      <c r="A48" s="3">
        <v>46844</v>
      </c>
      <c r="B48" s="1">
        <v>2028</v>
      </c>
      <c r="C48" s="1">
        <f t="shared" si="1"/>
        <v>20458</v>
      </c>
      <c r="D48" s="1">
        <v>0</v>
      </c>
    </row>
    <row r="49" spans="1:4" x14ac:dyDescent="0.35">
      <c r="A49" s="3">
        <v>46874</v>
      </c>
      <c r="B49" s="1">
        <v>2028</v>
      </c>
      <c r="C49" s="1">
        <f t="shared" si="1"/>
        <v>20458</v>
      </c>
      <c r="D49" s="1">
        <v>24</v>
      </c>
    </row>
    <row r="50" spans="1:4" x14ac:dyDescent="0.35">
      <c r="A50" s="3">
        <v>46905</v>
      </c>
      <c r="B50" s="1">
        <v>2028</v>
      </c>
      <c r="C50" s="1">
        <f t="shared" si="1"/>
        <v>20482</v>
      </c>
      <c r="D50" s="1">
        <v>0</v>
      </c>
    </row>
    <row r="51" spans="1:4" x14ac:dyDescent="0.35">
      <c r="A51" s="3">
        <v>46935</v>
      </c>
      <c r="B51" s="1">
        <v>2028</v>
      </c>
      <c r="C51" s="1">
        <f t="shared" si="1"/>
        <v>20482</v>
      </c>
      <c r="D51" s="1">
        <v>616</v>
      </c>
    </row>
    <row r="52" spans="1:4" x14ac:dyDescent="0.35">
      <c r="A52" s="3">
        <v>46966</v>
      </c>
      <c r="B52" s="1">
        <v>2028</v>
      </c>
      <c r="C52" s="1">
        <f t="shared" si="1"/>
        <v>21098</v>
      </c>
      <c r="D52" s="1">
        <v>0</v>
      </c>
    </row>
    <row r="53" spans="1:4" x14ac:dyDescent="0.35">
      <c r="A53" s="3">
        <v>46997</v>
      </c>
      <c r="B53" s="1">
        <v>2028</v>
      </c>
      <c r="C53" s="1">
        <f t="shared" si="1"/>
        <v>21098</v>
      </c>
      <c r="D53" s="1">
        <v>840</v>
      </c>
    </row>
    <row r="54" spans="1:4" x14ac:dyDescent="0.35">
      <c r="A54" s="3">
        <v>47027</v>
      </c>
      <c r="B54" s="1">
        <v>2028</v>
      </c>
      <c r="C54" s="1">
        <f t="shared" si="1"/>
        <v>21938</v>
      </c>
      <c r="D54" s="1">
        <v>0</v>
      </c>
    </row>
    <row r="55" spans="1:4" x14ac:dyDescent="0.35">
      <c r="A55" s="3">
        <v>47058</v>
      </c>
      <c r="B55" s="1">
        <v>2028</v>
      </c>
      <c r="C55" s="1">
        <f t="shared" si="1"/>
        <v>21938</v>
      </c>
      <c r="D55" s="1">
        <v>0</v>
      </c>
    </row>
    <row r="56" spans="1:4" x14ac:dyDescent="0.35">
      <c r="A56" s="3">
        <v>47088</v>
      </c>
      <c r="B56" s="1">
        <v>2028</v>
      </c>
      <c r="C56" s="1">
        <f t="shared" si="1"/>
        <v>21938</v>
      </c>
      <c r="D56" s="1">
        <v>0</v>
      </c>
    </row>
    <row r="57" spans="1:4" x14ac:dyDescent="0.35">
      <c r="A57" s="3">
        <v>47362</v>
      </c>
      <c r="B57" s="1">
        <v>2029</v>
      </c>
      <c r="C57" s="1">
        <f t="shared" si="1"/>
        <v>21938</v>
      </c>
      <c r="D57" s="1">
        <v>162</v>
      </c>
    </row>
  </sheetData>
  <mergeCells count="6">
    <mergeCell ref="AC2:AE2"/>
    <mergeCell ref="G2:J2"/>
    <mergeCell ref="B2:E2"/>
    <mergeCell ref="L2:P2"/>
    <mergeCell ref="R2:T2"/>
    <mergeCell ref="W2:AA2"/>
  </mergeCells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5"/>
  <sheetViews>
    <sheetView workbookViewId="0">
      <selection activeCell="D16" sqref="D16"/>
    </sheetView>
  </sheetViews>
  <sheetFormatPr defaultRowHeight="14.5" x14ac:dyDescent="0.35"/>
  <cols>
    <col min="1" max="1" width="14.36328125" customWidth="1"/>
    <col min="2" max="2" width="17.7265625" customWidth="1"/>
    <col min="5" max="5" width="9" bestFit="1" customWidth="1"/>
    <col min="6" max="6" width="9.08984375" bestFit="1" customWidth="1"/>
    <col min="7" max="7" width="9" bestFit="1" customWidth="1"/>
  </cols>
  <sheetData>
    <row r="1" spans="1:7" ht="15" thickBot="1" x14ac:dyDescent="0.4"/>
    <row r="2" spans="1:7" ht="15" thickBot="1" x14ac:dyDescent="0.4"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</row>
    <row r="3" spans="1:7" ht="28" thickBot="1" x14ac:dyDescent="0.4">
      <c r="A3" s="4" t="s">
        <v>39</v>
      </c>
      <c r="B3" s="4">
        <v>3514.7</v>
      </c>
      <c r="C3" s="4">
        <v>4184.7</v>
      </c>
      <c r="D3" s="4">
        <v>4184.7</v>
      </c>
      <c r="E3" s="4">
        <v>4184.7</v>
      </c>
      <c r="F3" s="4">
        <v>4184.7</v>
      </c>
      <c r="G3" s="4">
        <v>4167.7</v>
      </c>
    </row>
    <row r="4" spans="1:7" ht="31.5" customHeight="1" thickBot="1" x14ac:dyDescent="0.4">
      <c r="A4" s="7" t="s">
        <v>38</v>
      </c>
      <c r="B4" s="4">
        <v>4034.9</v>
      </c>
      <c r="C4" s="4">
        <v>3368</v>
      </c>
      <c r="D4" s="4">
        <v>3368</v>
      </c>
      <c r="E4" s="4">
        <v>3368</v>
      </c>
      <c r="F4" s="4">
        <v>3369.9</v>
      </c>
      <c r="G4" s="4">
        <v>3386.9</v>
      </c>
    </row>
    <row r="5" spans="1:7" ht="15" thickBot="1" x14ac:dyDescent="0.4">
      <c r="A5" s="4" t="s">
        <v>28</v>
      </c>
      <c r="B5" s="4">
        <v>5643.1</v>
      </c>
      <c r="C5" s="4">
        <v>5300</v>
      </c>
      <c r="D5" s="4">
        <v>5384.5</v>
      </c>
      <c r="E5" s="4">
        <v>5384.5</v>
      </c>
      <c r="F5" s="4">
        <v>5384.5</v>
      </c>
      <c r="G5" s="4">
        <v>5384.5</v>
      </c>
    </row>
    <row r="6" spans="1:7" ht="15" thickBot="1" x14ac:dyDescent="0.4">
      <c r="A6" s="4" t="s">
        <v>29</v>
      </c>
      <c r="B6" s="4">
        <v>2804.3</v>
      </c>
      <c r="C6" s="4">
        <v>3181.2</v>
      </c>
      <c r="D6" s="4">
        <v>3138.2</v>
      </c>
      <c r="E6" s="4">
        <v>3138.2</v>
      </c>
      <c r="F6" s="4">
        <v>3138.2</v>
      </c>
      <c r="G6" s="4">
        <v>3138.2</v>
      </c>
    </row>
    <row r="7" spans="1:7" ht="15" thickBot="1" x14ac:dyDescent="0.4">
      <c r="A7" s="4" t="s">
        <v>30</v>
      </c>
      <c r="B7" s="4">
        <v>3096.2</v>
      </c>
      <c r="C7" s="4">
        <v>3053.8</v>
      </c>
      <c r="D7" s="4">
        <v>3075.4</v>
      </c>
      <c r="E7" s="4">
        <v>3083.6</v>
      </c>
      <c r="F7" s="4">
        <v>3086.6</v>
      </c>
      <c r="G7" s="4">
        <v>3086.6</v>
      </c>
    </row>
    <row r="8" spans="1:7" ht="15" thickBot="1" x14ac:dyDescent="0.4">
      <c r="A8" s="4" t="s">
        <v>31</v>
      </c>
      <c r="B8" s="4">
        <v>908.6</v>
      </c>
      <c r="C8" s="4">
        <v>908.6</v>
      </c>
      <c r="D8" s="4">
        <v>908.6</v>
      </c>
      <c r="E8" s="4">
        <v>908.6</v>
      </c>
      <c r="F8" s="4">
        <v>908.6</v>
      </c>
      <c r="G8" s="4">
        <v>908.6</v>
      </c>
    </row>
    <row r="9" spans="1:7" ht="15" thickBot="1" x14ac:dyDescent="0.4">
      <c r="A9" s="4" t="s">
        <v>32</v>
      </c>
      <c r="B9" s="4">
        <v>6348.8</v>
      </c>
      <c r="C9" s="4">
        <v>6348.8</v>
      </c>
      <c r="D9" s="4">
        <v>6352.2</v>
      </c>
      <c r="E9" s="4">
        <v>6352.2</v>
      </c>
      <c r="F9" s="4">
        <v>6658.2</v>
      </c>
      <c r="G9" s="4">
        <v>6910.4</v>
      </c>
    </row>
    <row r="10" spans="1:7" ht="15" thickBot="1" x14ac:dyDescent="0.4">
      <c r="A10" s="6" t="s">
        <v>37</v>
      </c>
      <c r="B10" s="4">
        <v>114.4</v>
      </c>
      <c r="C10" s="4">
        <v>114.4</v>
      </c>
      <c r="D10" s="4">
        <v>114.4</v>
      </c>
      <c r="E10" s="4">
        <v>114.4</v>
      </c>
      <c r="F10" s="4">
        <v>114.4</v>
      </c>
      <c r="G10" s="4">
        <v>114.4</v>
      </c>
    </row>
    <row r="11" spans="1:7" ht="15" thickBot="1" x14ac:dyDescent="0.4">
      <c r="A11" s="4" t="s">
        <v>36</v>
      </c>
      <c r="B11" s="4">
        <v>12546.5</v>
      </c>
      <c r="C11" s="4">
        <v>12836.7</v>
      </c>
      <c r="D11" s="4">
        <v>13026.4</v>
      </c>
      <c r="E11" s="4">
        <v>13227.9</v>
      </c>
      <c r="F11" s="4">
        <v>13268.1</v>
      </c>
      <c r="G11" s="4">
        <v>13556.4</v>
      </c>
    </row>
    <row r="12" spans="1:7" ht="15" thickBot="1" x14ac:dyDescent="0.4">
      <c r="A12" s="4" t="s">
        <v>34</v>
      </c>
      <c r="B12" s="4">
        <v>94.88</v>
      </c>
      <c r="C12" s="4">
        <v>94.88</v>
      </c>
      <c r="D12" s="4">
        <v>94.9</v>
      </c>
      <c r="E12" s="4">
        <v>94.88</v>
      </c>
      <c r="F12" s="4">
        <v>94.9</v>
      </c>
      <c r="G12" s="4">
        <v>94.9</v>
      </c>
    </row>
    <row r="13" spans="1:7" ht="15" thickBot="1" x14ac:dyDescent="0.4">
      <c r="A13" s="5" t="s">
        <v>35</v>
      </c>
      <c r="B13" s="5">
        <f t="shared" ref="B13:G13" si="0">+SUM(B3:B12)</f>
        <v>39106.379999999997</v>
      </c>
      <c r="C13" s="5">
        <f t="shared" si="0"/>
        <v>39391.079999999994</v>
      </c>
      <c r="D13" s="5">
        <f t="shared" si="0"/>
        <v>39647.300000000003</v>
      </c>
      <c r="E13" s="8">
        <f t="shared" si="0"/>
        <v>39856.979999999996</v>
      </c>
      <c r="F13" s="8">
        <f t="shared" si="0"/>
        <v>40208.1</v>
      </c>
      <c r="G13" s="8">
        <f t="shared" si="0"/>
        <v>40748.6</v>
      </c>
    </row>
    <row r="15" spans="1:7" ht="15" thickBot="1" x14ac:dyDescent="0.4"/>
    <row r="16" spans="1:7" ht="53" customHeight="1" thickBot="1" x14ac:dyDescent="0.4">
      <c r="A16" s="13" t="s">
        <v>40</v>
      </c>
      <c r="B16" s="13" t="s">
        <v>42</v>
      </c>
      <c r="C16" s="9" t="s">
        <v>41</v>
      </c>
    </row>
    <row r="17" spans="1:3" ht="15" thickBot="1" x14ac:dyDescent="0.4">
      <c r="A17" s="10" t="s">
        <v>27</v>
      </c>
      <c r="B17" s="12">
        <f>+C17*$C$25</f>
        <v>7554.6</v>
      </c>
      <c r="C17" s="10">
        <f>+SUM(G3:G4)/$G$13</f>
        <v>0.18539532646520374</v>
      </c>
    </row>
    <row r="18" spans="1:3" ht="15" thickBot="1" x14ac:dyDescent="0.4">
      <c r="A18" s="10" t="s">
        <v>28</v>
      </c>
      <c r="B18" s="12">
        <f t="shared" ref="B18:B24" si="1">+C18*$C$25</f>
        <v>5384.5</v>
      </c>
      <c r="C18" s="10">
        <f>+G5/$G$13</f>
        <v>0.13213950908742877</v>
      </c>
    </row>
    <row r="19" spans="1:3" ht="15" thickBot="1" x14ac:dyDescent="0.4">
      <c r="A19" s="10" t="s">
        <v>29</v>
      </c>
      <c r="B19" s="12">
        <f t="shared" si="1"/>
        <v>3138.2</v>
      </c>
      <c r="C19" s="10">
        <f>+G6/$G$13</f>
        <v>7.7013688813848818E-2</v>
      </c>
    </row>
    <row r="20" spans="1:3" ht="15" thickBot="1" x14ac:dyDescent="0.4">
      <c r="A20" s="10" t="s">
        <v>30</v>
      </c>
      <c r="B20" s="12">
        <f t="shared" si="1"/>
        <v>3086.6</v>
      </c>
      <c r="C20" s="10">
        <f>+G7/$G$13</f>
        <v>7.5747387640311567E-2</v>
      </c>
    </row>
    <row r="21" spans="1:3" ht="15" thickBot="1" x14ac:dyDescent="0.4">
      <c r="A21" s="10" t="s">
        <v>31</v>
      </c>
      <c r="B21" s="12">
        <f t="shared" si="1"/>
        <v>908.6</v>
      </c>
      <c r="C21" s="10">
        <f>+G8/$G$13</f>
        <v>2.2297698571239258E-2</v>
      </c>
    </row>
    <row r="22" spans="1:3" ht="15" thickBot="1" x14ac:dyDescent="0.4">
      <c r="A22" s="10" t="s">
        <v>32</v>
      </c>
      <c r="B22" s="12">
        <f t="shared" si="1"/>
        <v>6910.4000000000005</v>
      </c>
      <c r="C22" s="10">
        <f>+G9/$G$13</f>
        <v>0.169586194372322</v>
      </c>
    </row>
    <row r="23" spans="1:3" ht="28" thickBot="1" x14ac:dyDescent="0.4">
      <c r="A23" s="10" t="s">
        <v>33</v>
      </c>
      <c r="B23" s="12">
        <f t="shared" si="1"/>
        <v>13670.8</v>
      </c>
      <c r="C23" s="11">
        <f>+(G10+G11)/$G$13</f>
        <v>0.33549128068203571</v>
      </c>
    </row>
    <row r="24" spans="1:3" ht="15" thickBot="1" x14ac:dyDescent="0.4">
      <c r="A24" s="10" t="s">
        <v>34</v>
      </c>
      <c r="B24" s="12">
        <f t="shared" si="1"/>
        <v>94.9</v>
      </c>
      <c r="C24" s="11">
        <f>+(G12)/$G$13</f>
        <v>2.3289143676101759E-3</v>
      </c>
    </row>
    <row r="25" spans="1:3" ht="15" thickBot="1" x14ac:dyDescent="0.4">
      <c r="A25" s="5" t="s">
        <v>35</v>
      </c>
      <c r="B25" s="5">
        <f>+C25</f>
        <v>40748.6</v>
      </c>
      <c r="C25" s="5">
        <v>40748.6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BESS</vt:lpstr>
      <vt:lpstr>Energy Matrix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2026-08-19T20:49:34Z</dcterms:modified>
</cp:coreProperties>
</file>