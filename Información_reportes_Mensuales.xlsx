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<sst xmlns="http://schemas.openxmlformats.org/spreadsheetml/2006/main" count="130" uniqueCount="44">
  <si>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</si>
  <si>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</si>
  <si>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</si>
  <si>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</si>
  <si>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</si>
  <si>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</si>
  <si>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</si>
  <si>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</si>
  <si>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</si>
  <si>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</si>
  <si>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</si>
  <si>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</si>
  <si>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</si>
  <si>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</si>
  <si>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</si>
  <si>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</si>
  <si>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</si>
  <si>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</si>
  <si>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</si>
  <si>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</si>
  <si>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</si>
  <si>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</si>
  <si>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</si>
  <si>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</si>
  <si>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September 2026 — E. Abierta, Res. Ex. 475, datos al 31-ago-2026)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</si>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</sst>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0</c:v>
                </c:pt>
                <c:pt idx="1">
                  <c:v>261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773</c:v>
                </c:pt>
                <c:pt idx="14">
                  <c:v>2697</c:v>
                </c:pt>
                <c:pt idx="15">
                  <c:v>0</c:v>
                </c:pt>
                <c:pt idx="16">
                  <c:v>3785</c:v>
                </c:pt>
                <c:pt idx="17">
                  <c:v>1000</c:v>
                </c:pt>
                <c:pt idx="18">
                  <c:v>1000</c:v>
                </c:pt>
                <c:pt idx="19">
                  <c:v>702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1606</c:v>
                </c:pt>
                <c:pt idx="24">
                  <c:v>980</c:v>
                </c:pt>
                <c:pt idx="25">
                  <c:v>36</c:v>
                </c:pt>
                <c:pt idx="26">
                  <c:v>36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  <c:pt idx="30">
                  <c:v>24</c:v>
                </c:pt>
                <c:pt idx="31">
                  <c:v>616</c:v>
                </c:pt>
                <c:pt idx="32">
                  <c:v>0</c:v>
                </c:pt>
                <c:pt idx="33">
                  <c:v>0</c:v>
                </c:pt>
                <c:pt idx="34">
                  <c:v>960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47150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261</c:v>
                </c:pt>
                <c:pt idx="3">
                  <c:v>261</c:v>
                </c:pt>
                <c:pt idx="4">
                  <c:v>301</c:v>
                </c:pt>
                <c:pt idx="5">
                  <c:v>301</c:v>
                </c:pt>
                <c:pt idx="6">
                  <c:v>301</c:v>
                </c:pt>
                <c:pt idx="7">
                  <c:v>301</c:v>
                </c:pt>
                <c:pt idx="8">
                  <c:v>1213</c:v>
                </c:pt>
                <c:pt idx="9">
                  <c:v>1468</c:v>
                </c:pt>
                <c:pt idx="10">
                  <c:v>3085</c:v>
                </c:pt>
                <c:pt idx="11">
                  <c:v>4485</c:v>
                </c:pt>
                <c:pt idx="12">
                  <c:v>7422</c:v>
                </c:pt>
                <c:pt idx="13">
                  <c:v>7529</c:v>
                </c:pt>
                <c:pt idx="14">
                  <c:v>8302</c:v>
                </c:pt>
                <c:pt idx="15">
                  <c:v>10999</c:v>
                </c:pt>
                <c:pt idx="16">
                  <c:v>10999</c:v>
                </c:pt>
                <c:pt idx="17">
                  <c:v>14784</c:v>
                </c:pt>
                <c:pt idx="18">
                  <c:v>15784</c:v>
                </c:pt>
                <c:pt idx="19">
                  <c:v>16784</c:v>
                </c:pt>
                <c:pt idx="20">
                  <c:v>17486</c:v>
                </c:pt>
                <c:pt idx="21">
                  <c:v>17511</c:v>
                </c:pt>
                <c:pt idx="22">
                  <c:v>17571</c:v>
                </c:pt>
                <c:pt idx="23">
                  <c:v>17571</c:v>
                </c:pt>
                <c:pt idx="24">
                  <c:v>19177</c:v>
                </c:pt>
                <c:pt idx="25">
                  <c:v>20157</c:v>
                </c:pt>
                <c:pt idx="26">
                  <c:v>20193</c:v>
                </c:pt>
                <c:pt idx="27">
                  <c:v>20229</c:v>
                </c:pt>
                <c:pt idx="28">
                  <c:v>20244</c:v>
                </c:pt>
                <c:pt idx="29">
                  <c:v>20244</c:v>
                </c:pt>
                <c:pt idx="30">
                  <c:v>20244</c:v>
                </c:pt>
                <c:pt idx="31">
                  <c:v>20268</c:v>
                </c:pt>
                <c:pt idx="32">
                  <c:v>20884</c:v>
                </c:pt>
                <c:pt idx="33">
                  <c:v>20884</c:v>
                </c:pt>
                <c:pt idx="34">
                  <c:v>20884</c:v>
                </c:pt>
                <c:pt idx="35">
                  <c:v>21844</c:v>
                </c:pt>
                <c:pt idx="36">
                  <c:v>21844</c:v>
                </c:pt>
                <c:pt idx="37">
                  <c:v>21844</c:v>
                </c:pt>
                <c:pt idx="38">
                  <c:v>21844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(JULY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0.18363843336939897</c:v>
                </c:pt>
                <c:pt idx="1">
                  <c:v>0.11810584254174528</c:v>
                </c:pt>
                <c:pt idx="2">
                  <c:v>0.0762689332629518</c:v>
                </c:pt>
                <c:pt idx="3">
                  <c:v>0.07546280229303795</c:v>
                </c:pt>
                <c:pt idx="4">
                  <c:v>0.03383222560196134</c:v>
                </c:pt>
                <c:pt idx="5">
                  <c:v>0.1661623791289605</c:v>
                </c:pt>
                <c:pt idx="6">
                  <c:v>0.34422302778612174</c:v>
                </c:pt>
                <c:pt idx="7">
                  <c:v>0.002306356015822234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74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>
        <v>2625</v>
      </c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>
        <v>3183</v>
      </c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>
        <v>4972</v>
      </c>
      <c r="Y10" s="1"/>
      <c r="Z10" s="1">
        <f>+(4268+705)</f>
        <v>4973.0</v>
      </c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>
        <v>3123</v>
      </c>
      <c r="E11" s="1">
        <v>3116</v>
      </c>
      <c r="G11" s="1" t="s">
        <v>8</v>
      </c>
      <c r="H11" s="1"/>
      <c r="I11" s="1"/>
      <c r="J11" s="1">
        <v>13522</v>
      </c>
      <c r="L11" s="1" t="s">
        <v>8</v>
      </c>
      <c r="M11" s="1"/>
      <c r="N11" s="1">
        <v>2686</v>
      </c>
      <c r="O11" s="1"/>
      <c r="P11" s="1">
        <v>2686</v>
      </c>
      <c r="R11" s="1" t="s">
        <v>8</v>
      </c>
      <c r="S11" s="1"/>
      <c r="T11" s="1">
        <v>12408</v>
      </c>
      <c r="W11" s="1" t="s">
        <v>8</v>
      </c>
      <c r="X11" s="1">
        <v>5149</v>
      </c>
      <c r="Y11" s="1"/>
      <c r="Z11" s="1"/>
      <c r="AA11" s="1">
        <v>5217</v>
      </c>
      <c r="AC11" s="1" t="s">
        <v>8</v>
      </c>
      <c r="AD11" s="1"/>
      <c r="AE11" s="1">
        <v>22330</v>
      </c>
    </row>
    <row r="12" spans="2:31" x14ac:dyDescent="0.35">
      <c r="B12" s="1" t="s">
        <v>9</v>
      </c>
      <c r="C12" s="1"/>
      <c r="D12" s="1"/>
      <c r="E12" s="1"/>
      <c r="G12" s="1" t="s">
        <v>9</v>
      </c>
      <c r="H12" s="1"/>
      <c r="I12" s="1"/>
      <c r="J12" s="1"/>
      <c r="L12" s="1" t="s">
        <v>9</v>
      </c>
      <c r="M12" s="1"/>
      <c r="N12" s="1"/>
      <c r="O12" s="1"/>
      <c r="P12" s="1"/>
      <c r="R12" s="1" t="s">
        <v>9</v>
      </c>
      <c r="S12" s="1"/>
      <c r="T12" s="1"/>
      <c r="W12" s="1" t="s">
        <v>9</v>
      </c>
      <c r="X12" s="1"/>
      <c r="Y12" s="1"/>
      <c r="Z12" s="1"/>
      <c r="AA12" s="1"/>
      <c r="AC12" s="1" t="s">
        <v>9</v>
      </c>
      <c r="AD12" s="1"/>
      <c r="AE12" s="1"/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45962</v>
      </c>
      <c r="B19" s="1">
        <v>2025</v>
      </c>
      <c r="C19" s="1">
        <v>0</v>
      </c>
      <c r="D19" s="1">
        <v>0</v>
      </c>
    </row>
    <row r="20" spans="1:4" x14ac:dyDescent="0.35">
      <c r="A20" s="3">
        <v>45992</v>
      </c>
      <c r="B20" s="1">
        <v>2025</v>
      </c>
      <c r="C20" s="1">
        <f t="shared" ref="C20:C21" si="0">+C19+D19</f>
        <v>0</v>
      </c>
      <c r="D20" s="1">
        <v>261</v>
      </c>
    </row>
    <row r="21" spans="1:4" x14ac:dyDescent="0.35">
      <c r="A21" s="3">
        <v>46023</v>
      </c>
      <c r="B21" s="1">
        <v>2026</v>
      </c>
      <c r="C21" s="1">
        <f t="shared" si="0"/>
        <v>261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261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301</v>
      </c>
      <c r="D23" s="1">
        <v>0</v>
      </c>
    </row>
    <row r="24" spans="1:4" x14ac:dyDescent="0.35">
      <c r="A24" s="3">
        <v>46113</v>
      </c>
      <c r="B24" s="1">
        <v>2026</v>
      </c>
      <c r="C24" s="1">
        <f t="shared" si="1"/>
        <v>301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301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301</v>
      </c>
      <c r="D26" s="1">
        <v>912</v>
      </c>
    </row>
    <row r="27" spans="1:4" x14ac:dyDescent="0.35">
      <c r="A27" s="3">
        <v>46204</v>
      </c>
      <c r="B27" s="1">
        <v>2026</v>
      </c>
      <c r="C27" s="1">
        <f t="shared" si="1"/>
        <v>1213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1468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3085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4485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7422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7529</v>
      </c>
      <c r="D32" s="1">
        <v>773</v>
      </c>
    </row>
    <row r="33" spans="1:4" x14ac:dyDescent="0.35">
      <c r="A33" s="3">
        <v>46388</v>
      </c>
      <c r="B33" s="1">
        <v>2027</v>
      </c>
      <c r="C33" s="1">
        <f t="shared" si="1"/>
        <v>8302</v>
      </c>
      <c r="D33" s="1">
        <v>2697</v>
      </c>
    </row>
    <row r="34" spans="1:4" x14ac:dyDescent="0.35">
      <c r="A34" s="3">
        <v>46419</v>
      </c>
      <c r="B34" s="1">
        <v>2027</v>
      </c>
      <c r="C34" s="1">
        <f t="shared" si="1"/>
        <v>10999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10999</v>
      </c>
      <c r="D35" s="1">
        <v>3785</v>
      </c>
    </row>
    <row r="36" spans="1:4" x14ac:dyDescent="0.35">
      <c r="A36" s="3">
        <v>46478</v>
      </c>
      <c r="B36" s="1">
        <v>2027</v>
      </c>
      <c r="C36" s="1">
        <f t="shared" si="1"/>
        <v>14784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15784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16784</v>
      </c>
      <c r="D38" s="1">
        <v>702</v>
      </c>
    </row>
    <row r="39" spans="1:4" x14ac:dyDescent="0.35">
      <c r="A39" s="3">
        <v>46569</v>
      </c>
      <c r="B39" s="1">
        <v>2027</v>
      </c>
      <c r="C39" s="1">
        <f t="shared" si="1"/>
        <v>17486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17511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17571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17571</v>
      </c>
      <c r="D42" s="1">
        <v>1606</v>
      </c>
    </row>
    <row r="43" spans="1:4" x14ac:dyDescent="0.35">
      <c r="A43" s="3">
        <v>46692</v>
      </c>
      <c r="B43" s="1">
        <v>2027</v>
      </c>
      <c r="C43" s="1">
        <f t="shared" si="1"/>
        <v>19177</v>
      </c>
      <c r="D43" s="1">
        <v>980</v>
      </c>
    </row>
    <row r="44" spans="1:4" x14ac:dyDescent="0.35">
      <c r="A44" s="3">
        <v>46722</v>
      </c>
      <c r="B44" s="1">
        <v>2027</v>
      </c>
      <c r="C44" s="1">
        <f t="shared" si="1"/>
        <v>20157</v>
      </c>
      <c r="D44" s="1">
        <v>36</v>
      </c>
    </row>
    <row r="45" spans="1:4" x14ac:dyDescent="0.35">
      <c r="A45" s="3">
        <v>46753</v>
      </c>
      <c r="B45" s="1">
        <v>2028</v>
      </c>
      <c r="C45" s="1">
        <f t="shared" si="1"/>
        <v>20193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20229</v>
      </c>
      <c r="D46" s="1">
        <v>15</v>
      </c>
    </row>
    <row r="47" spans="1:4" x14ac:dyDescent="0.35">
      <c r="A47" s="3">
        <v>46813</v>
      </c>
      <c r="B47" s="1">
        <v>2028</v>
      </c>
      <c r="C47" s="1">
        <f t="shared" si="1"/>
        <v>20244</v>
      </c>
      <c r="D47" s="1">
        <v>0</v>
      </c>
    </row>
    <row r="48" spans="1:4" x14ac:dyDescent="0.35">
      <c r="A48" s="3">
        <v>46844</v>
      </c>
      <c r="B48" s="1">
        <v>2028</v>
      </c>
      <c r="C48" s="1">
        <f t="shared" si="1"/>
        <v>20244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20244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20268</v>
      </c>
      <c r="D50" s="1">
        <v>616</v>
      </c>
    </row>
    <row r="51" spans="1:4" x14ac:dyDescent="0.35">
      <c r="A51" s="3">
        <v>46935</v>
      </c>
      <c r="B51" s="1">
        <v>2028</v>
      </c>
      <c r="C51" s="1">
        <f t="shared" si="1"/>
        <v>20884</v>
      </c>
      <c r="D51" s="1">
        <v>0</v>
      </c>
    </row>
    <row r="52" spans="1:4" x14ac:dyDescent="0.35">
      <c r="A52" s="3">
        <v>46966</v>
      </c>
      <c r="B52" s="1">
        <v>2028</v>
      </c>
      <c r="C52" s="1">
        <f t="shared" si="1"/>
        <v>20884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20884</v>
      </c>
      <c r="D53" s="1">
        <v>960</v>
      </c>
    </row>
    <row r="54" spans="1:4" x14ac:dyDescent="0.35">
      <c r="A54" s="3">
        <v>47027</v>
      </c>
      <c r="B54" s="1">
        <v>2028</v>
      </c>
      <c r="C54" s="1">
        <f t="shared" si="1"/>
        <v>21844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21844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21844</v>
      </c>
      <c r="D56" s="1">
        <v>0</v>
      </c>
    </row>
    <row r="57" spans="1:4" x14ac:dyDescent="0.35">
      <c r="A57" s="3">
        <v>47150</v>
      </c>
      <c r="B57" s="1">
        <v>2029</v>
      </c>
      <c r="C57" s="1">
        <f t="shared" si="1"/>
        <v>21844</v>
      </c>
      <c r="D57" s="1">
        <v>162</v>
      </c>
    </row>
    <row r="60" spans="1:7">
      <c r="A60" s="15" t="inlineStr">
        <is>
          <t xml:space="preserve">BESS Situation in Chile (ACERA, 2026)</t>
        </is>
      </c>
      <c r="B60" s="15"/>
      <c r="C60" s="15"/>
      <c r="D60" s="15"/>
      <c r="E60" s="15"/>
      <c r="F60" s="15"/>
      <c r="G60" s="15"/>
    </row>
    <row r="61" spans="1:7">
      <c r="A61" s="15"/>
      <c r="B61" s="15" t="inlineStr">
        <is>
          <t xml:space="preserve">Operation</t>
        </is>
      </c>
      <c r="C61" s="15"/>
      <c r="D61" s="15" t="inlineStr">
        <is>
          <t xml:space="preserve">Test</t>
        </is>
      </c>
      <c r="E61" s="15"/>
      <c r="F61" s="15" t="inlineStr">
        <is>
          <t xml:space="preserve">Construction</t>
        </is>
      </c>
      <c r="G61" s="15"/>
    </row>
    <row r="62" spans="1:7">
      <c r="A62" s="15" t="inlineStr">
        <is>
          <t xml:space="preserve">Month</t>
        </is>
      </c>
      <c r="B62" s="15" t="inlineStr">
        <is>
          <t xml:space="preserve">MW</t>
        </is>
      </c>
      <c r="C62" s="15" t="inlineStr">
        <is>
          <t xml:space="preserve">MWh</t>
        </is>
      </c>
      <c r="D62" s="15" t="inlineStr">
        <is>
          <t xml:space="preserve">MW</t>
        </is>
      </c>
      <c r="E62" s="15" t="inlineStr">
        <is>
          <t xml:space="preserve">MWh</t>
        </is>
      </c>
      <c r="F62" s="15" t="inlineStr">
        <is>
          <t xml:space="preserve">MW</t>
        </is>
      </c>
      <c r="G62" s="15" t="inlineStr">
        <is>
          <t xml:space="preserve">MWh</t>
        </is>
      </c>
    </row>
    <row r="63" spans="1:7">
      <c r="A63" s="1" t="inlineStr">
        <is>
          <t xml:space="preserve">January</t>
        </is>
      </c>
      <c r="B63" s="1">
        <f>IF(BESS!E4="","",BESS!E4)</f>
        <v>1575</v>
      </c>
      <c r="C63" s="1">
        <f>IF(BESS!J4="","",BESS!J4)</f>
        <v>6384</v>
      </c>
      <c r="D63" s="1">
        <f>IF(BESS!P4="","",BESS!P4)</f>
        <v>746</v>
      </c>
      <c r="E63" s="1">
        <f>IF(BESS!T4="","",BESS!T4)</f>
        <v>2688</v>
      </c>
      <c r="F63" s="1">
        <f>IF(BESS!AA4="","",BESS!AA4)</f>
        <v>7278</v>
      </c>
      <c r="G63" s="1">
        <f>IF(BESS!AE4="","",BESS!AE4)</f>
        <v>32504</v>
      </c>
    </row>
    <row r="64" spans="1:7">
      <c r="A64" s="1" t="inlineStr">
        <is>
          <t xml:space="preserve">February</t>
        </is>
      </c>
      <c r="B64" s="1">
        <f>IF(BESS!E5="","",BESS!E5)</f>
        <v>1691</v>
      </c>
      <c r="C64" s="1">
        <f>IF(BESS!J5="","",BESS!J5)</f>
        <v>6964</v>
      </c>
      <c r="D64" s="1">
        <f>IF(BESS!P5="","",BESS!P5)</f>
        <v>1486</v>
      </c>
      <c r="E64" s="1">
        <f>IF(BESS!T5="","",BESS!T5)</f>
        <v>5972</v>
      </c>
      <c r="F64" s="1">
        <f>IF(BESS!AA5="","",BESS!AA5)</f>
        <v>6596</v>
      </c>
      <c r="G64" s="1">
        <f>IF(BESS!AE5="","",BESS!AE5)</f>
        <v>29473</v>
      </c>
    </row>
    <row r="65" spans="1:7">
      <c r="A65" s="1" t="inlineStr">
        <is>
          <t xml:space="preserve">March</t>
        </is>
      </c>
      <c r="B65" s="1">
        <f>IF(BESS!E6="","",BESS!E6)</f>
        <v>1691</v>
      </c>
      <c r="C65" s="1">
        <f>IF(BESS!J6="","",BESS!J6)</f>
        <v>6964</v>
      </c>
      <c r="D65" s="1">
        <f>IF(BESS!P6="","",BESS!P6)</f>
        <v>1832</v>
      </c>
      <c r="E65" s="1">
        <f>IF(BESS!T6="","",BESS!T6)</f>
        <v>7102</v>
      </c>
      <c r="F65" s="1">
        <f>IF(BESS!AA6="","",BESS!AA6)</f>
        <v>6385</v>
      </c>
      <c r="G65" s="1">
        <f>IF(BESS!AE6="","",BESS!AE6)</f>
        <v>29018</v>
      </c>
    </row>
    <row r="66" spans="1:7">
      <c r="A66" s="1" t="inlineStr">
        <is>
          <t xml:space="preserve">April</t>
        </is>
      </c>
      <c r="B66" s="1">
        <f>IF(BESS!E7="","",BESS!E7)</f>
        <v>2063</v>
      </c>
      <c r="C66" s="1">
        <f>IF(BESS!J7="","",BESS!J7)</f>
        <v>8477</v>
      </c>
      <c r="D66" s="1">
        <f>IF(BESS!P7="","",BESS!P7)</f>
        <v>2124</v>
      </c>
      <c r="E66" s="1">
        <f>IF(BESS!T7="","",BESS!T7)</f>
        <v>9730</v>
      </c>
      <c r="F66" s="1">
        <f>IF(BESS!AA7="","",BESS!AA7)</f>
        <v>5977</v>
      </c>
      <c r="G66" s="1">
        <f>IF(BESS!AE7="","",BESS!AE7)</f>
        <v>25896</v>
      </c>
    </row>
    <row r="67" spans="1:7">
      <c r="A67" s="1" t="inlineStr">
        <is>
          <t xml:space="preserve">May</t>
        </is>
      </c>
      <c r="B67" s="1">
        <f>IF(BESS!E8="","",BESS!E8)</f>
        <v>2063</v>
      </c>
      <c r="C67" s="1">
        <f>IF(BESS!J8="","",BESS!J8)</f>
        <v>8777</v>
      </c>
      <c r="D67" s="1">
        <f>IF(BESS!P8="","",BESS!P8)</f>
        <v>2425</v>
      </c>
      <c r="E67" s="1">
        <f>IF(BESS!T8="","",BESS!T8)</f>
        <v>11275</v>
      </c>
      <c r="F67" s="1">
        <f>IF(BESS!AA8="","",BESS!AA8)</f>
        <v>5746</v>
      </c>
      <c r="G67" s="1">
        <f>IF(BESS!AE8="","",BESS!AE8)</f>
        <v>24638</v>
      </c>
    </row>
    <row r="68" spans="1:7">
      <c r="A68" s="1" t="inlineStr">
        <is>
          <t xml:space="preserve">June</t>
        </is>
      </c>
      <c r="B68" s="1">
        <f>IF(BESS!E9="","",BESS!E9)</f>
        <v>2318</v>
      </c>
      <c r="C68" s="1">
        <f>IF(BESS!J9="","",BESS!J9)</f>
        <v>10057</v>
      </c>
      <c r="D68" s="1">
        <f>IF(BESS!P9="","",BESS!P9)</f>
        <v>2958</v>
      </c>
      <c r="E68" s="1">
        <f>IF(BESS!T9="","",BESS!T9)</f>
        <v>13593</v>
      </c>
      <c r="F68" s="1">
        <f>IF(BESS!AA9="","",BESS!AA9)</f>
        <v>4987</v>
      </c>
      <c r="G68" s="1">
        <f>IF(BESS!AE9="","",BESS!AE9)</f>
        <v>21175</v>
      </c>
    </row>
    <row r="69" spans="1:7">
      <c r="A69" s="1" t="inlineStr">
        <is>
          <t xml:space="preserve">July</t>
        </is>
      </c>
      <c r="B69" s="1">
        <f>IF(BESS!E10="","",BESS!E10)</f>
        <v>2655</v>
      </c>
      <c r="C69" s="1">
        <f>IF(BESS!J10="","",BESS!J10)</f>
        <v>11250</v>
      </c>
      <c r="D69" s="1">
        <f>IF(BESS!P10="","",BESS!P10)</f>
        <v>3151</v>
      </c>
      <c r="E69" s="1">
        <f>IF(BESS!T10="","",BESS!T10)</f>
        <v>14698</v>
      </c>
      <c r="F69" s="1">
        <f>IF(BESS!AA10="","",BESS!AA10)</f>
        <v>5040</v>
      </c>
      <c r="G69" s="1">
        <f>IF(BESS!AE10="","",BESS!AE10)</f>
        <v>21721</v>
      </c>
    </row>
    <row r="70" spans="1:7">
      <c r="A70" s="1" t="inlineStr">
        <is>
          <t xml:space="preserve">August</t>
        </is>
      </c>
      <c r="B70" s="1">
        <f>IF(BESS!E11="","",BESS!E11)</f>
        <v>3116</v>
      </c>
      <c r="C70" s="1">
        <f>IF(BESS!J11="","",BESS!J11)</f>
        <v>13522</v>
      </c>
      <c r="D70" s="1">
        <f>IF(BESS!P11="","",BESS!P11)</f>
        <v>2686</v>
      </c>
      <c r="E70" s="1">
        <f>IF(BESS!T11="","",BESS!T11)</f>
        <v>12408</v>
      </c>
      <c r="F70" s="1">
        <f>IF(BESS!AA11="","",BESS!AA11)</f>
        <v>5217</v>
      </c>
      <c r="G70" s="1">
        <f>IF(BESS!AE11="","",BESS!AE11)</f>
        <v>22330</v>
      </c>
    </row>
    <row r="71" spans="1:7">
      <c r="A71" s="1" t="inlineStr">
        <is>
          <t xml:space="preserve">September</t>
        </is>
      </c>
      <c r="B71" s="1" t="str">
        <f>IF(BESS!E12="","",BESS!E12)</f>
        <v/>
      </c>
      <c r="C71" s="1" t="str">
        <f>IF(BESS!J12="","",BESS!J12)</f>
        <v/>
      </c>
      <c r="D71" s="1" t="str">
        <f>IF(BESS!P12="","",BESS!P12)</f>
        <v/>
      </c>
      <c r="E71" s="1" t="str">
        <f>IF(BESS!T12="","",BESS!T12)</f>
        <v/>
      </c>
      <c r="F71" s="1" t="str">
        <f>IF(BESS!AA12="","",BESS!AA12)</f>
        <v/>
      </c>
      <c r="G71" s="1" t="str">
        <f>IF(BESS!AE12="","",BESS!AE12)</f>
        <v/>
      </c>
    </row>
    <row r="72" spans="1:7">
      <c r="A72" s="1" t="inlineStr">
        <is>
          <t xml:space="preserve">October</t>
        </is>
      </c>
      <c r="B72" s="1" t="str">
        <f>IF(BESS!E13="","",BESS!E13)</f>
        <v/>
      </c>
      <c r="C72" s="1" t="str">
        <f>IF(BESS!J13="","",BESS!J13)</f>
        <v/>
      </c>
      <c r="D72" s="1" t="str">
        <f>IF(BESS!P13="","",BESS!P13)</f>
        <v/>
      </c>
      <c r="E72" s="1" t="str">
        <f>IF(BESS!T13="","",BESS!T13)</f>
        <v/>
      </c>
      <c r="F72" s="1" t="str">
        <f>IF(BESS!AA13="","",BESS!AA13)</f>
        <v/>
      </c>
      <c r="G72" s="1" t="str">
        <f>IF(BESS!AE13="","",BESS!AE13)</f>
        <v/>
      </c>
    </row>
    <row r="73" spans="1:7">
      <c r="A73" s="1" t="inlineStr">
        <is>
          <t xml:space="preserve">November</t>
        </is>
      </c>
      <c r="B73" s="1" t="str">
        <f>IF(BESS!E14="","",BESS!E14)</f>
        <v/>
      </c>
      <c r="C73" s="1" t="str">
        <f>IF(BESS!J14="","",BESS!J14)</f>
        <v/>
      </c>
      <c r="D73" s="1" t="str">
        <f>IF(BESS!P14="","",BESS!P14)</f>
        <v/>
      </c>
      <c r="E73" s="1" t="str">
        <f>IF(BESS!T14="","",BESS!T14)</f>
        <v/>
      </c>
      <c r="F73" s="1" t="str">
        <f>IF(BESS!AA14="","",BESS!AA14)</f>
        <v/>
      </c>
      <c r="G73" s="1" t="str">
        <f>IF(BESS!AE14="","",BESS!AE14)</f>
        <v/>
      </c>
    </row>
    <row r="74" spans="1:7">
      <c r="A74" s="1" t="inlineStr">
        <is>
          <t xml:space="preserve">December</t>
        </is>
      </c>
      <c r="B74" s="1" t="str">
        <f>IF(BESS!E15="","",BESS!E15)</f>
        <v/>
      </c>
      <c r="C74" s="1" t="str">
        <f>IF(BESS!J15="","",BESS!J15)</f>
        <v/>
      </c>
      <c r="D74" s="1" t="str">
        <f>IF(BESS!P15="","",BESS!P15)</f>
        <v/>
      </c>
      <c r="E74" s="1" t="str">
        <f>IF(BESS!T15="","",BESS!T15)</f>
        <v/>
      </c>
      <c r="F74" s="1" t="str">
        <f>IF(BESS!AA15="","",BESS!AA15)</f>
        <v/>
      </c>
      <c r="G74" s="1" t="str">
        <f>IF(BESS!AE15="","",BESS!AE15)</f>
        <v/>
      </c>
    </row>
  </sheetData>
  <mergeCells count="10">
    <mergeCell ref="A60:G60"/>
    <mergeCell ref="B61:C61"/>
    <mergeCell ref="D61:E61"/>
    <mergeCell ref="F61:G61"/>
    <mergeCell ref="AC2:AE2"/>
    <mergeCell ref="G2:J2"/>
    <mergeCell ref="B2:E2"/>
    <mergeCell ref="L2:P2"/>
    <mergeCell ref="R2:T2"/>
    <mergeCell ref="W2:A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4859.72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3138.25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  <c r="H7" s="4">
        <v>3105.08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1392.1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6837.11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14049.4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  <c r="H13" s="8">
        <f>+SUM(H3:H12)</f>
        <v>41147.16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7556.2</v>
      </c>
      <c r="C17" s="10">
        <f>+SUM(H3:H4)/$H$13</f>
        <v>0.18363843336939897</v>
      </c>
    </row>
    <row r="18" spans="1:3" ht="15" thickBot="1" x14ac:dyDescent="0.4">
      <c r="A18" s="10" t="s">
        <v>28</v>
      </c>
      <c r="B18" s="12">
        <f t="shared" ref="B18:B24" si="1">+C18*$C$25</f>
        <v>4859.72</v>
      </c>
      <c r="C18" s="10">
        <f>+H5/$H$13</f>
        <v>0.11810584254174528</v>
      </c>
    </row>
    <row r="19" spans="1:3" ht="15" thickBot="1" x14ac:dyDescent="0.4">
      <c r="A19" s="10" t="s">
        <v>29</v>
      </c>
      <c r="B19" s="12">
        <f t="shared" si="1"/>
        <v>3138.25</v>
      </c>
      <c r="C19" s="10">
        <f>+H6/$H$13</f>
        <v>0.0762689332629518</v>
      </c>
    </row>
    <row r="20" spans="1:3" ht="15" thickBot="1" x14ac:dyDescent="0.4">
      <c r="A20" s="10" t="s">
        <v>30</v>
      </c>
      <c r="B20" s="12">
        <f t="shared" si="1"/>
        <v>3105.08</v>
      </c>
      <c r="C20" s="10">
        <f>+H7/$H$13</f>
        <v>0.07546280229303795</v>
      </c>
    </row>
    <row r="21" spans="1:3" ht="15" thickBot="1" x14ac:dyDescent="0.4">
      <c r="A21" s="10" t="s">
        <v>31</v>
      </c>
      <c r="B21" s="12">
        <f t="shared" si="1"/>
        <v>1392.1</v>
      </c>
      <c r="C21" s="10">
        <f>+H8/$H$13</f>
        <v>0.03383222560196134</v>
      </c>
    </row>
    <row r="22" spans="1:3" ht="15" thickBot="1" x14ac:dyDescent="0.4">
      <c r="A22" s="10" t="s">
        <v>32</v>
      </c>
      <c r="B22" s="12">
        <f t="shared" si="1"/>
        <v>6837.11</v>
      </c>
      <c r="C22" s="10">
        <f>+H9/$H$13</f>
        <v>0.1661623791289605</v>
      </c>
    </row>
    <row r="23" spans="1:3" ht="28" thickBot="1" x14ac:dyDescent="0.4">
      <c r="A23" s="10" t="s">
        <v>33</v>
      </c>
      <c r="B23" s="12">
        <f t="shared" si="1"/>
        <v>14163.8</v>
      </c>
      <c r="C23" s="11">
        <f>+(H10+H11)/$H$13</f>
        <v>0.34422302778612174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+(H12)/$H$13</f>
        <v>0.002306356015822234</v>
      </c>
    </row>
    <row r="25" spans="1:3" ht="15" thickBot="1" x14ac:dyDescent="0.4">
      <c r="A25" s="5" t="s">
        <v>35</v>
      </c>
      <c r="B25" s="5">
        <f>+C25</f>
        <v>41147.16</v>
      </c>
      <c r="C25" s="5">
        <f>+H13</f>
        <v>41147.16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2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2026-10-01 (Routine mensual) - ver bitacora al final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Agosto-26, Tabla 6: BESS En Operacion = 3.116 MW / 13.522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Ministerio de Energia, Reporte de Proyectos agosto 2026 (Tablas 2, 4 y 6) + ACERA ago-26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 y de desarrolladores)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Operacion, criterio ACERA/CEN) se cuenta aparte de lo que esta en pruebas o solo contratado:</t>
        </is>
      </c>
    </row>
    <row r="12" spans="1:8">
      <c r="B12" t="inlineStr">
        <is>
          <t xml:space="preserve">un proyecto en pruebas o un contrato firmado todavia no es capacidad instalada y no puede entrar en ese share.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sobre la base instalada sigue siendo demasiado baja para</t>
        </is>
      </c>
    </row>
    <row r="14" spans="1:8">
      <c r="B14" t="inlineStr">
        <is>
          <t xml:space="preserve">publicar un % de participacion 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ATRIBUIDOS QUE NO SON BASE INSTALADA (en pruebas o contrato anunciado) - EXCLUIDOS DEL SHARE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BESS Elena Fase I (Oasis de Atacama F6)</t>
        </is>
      </c>
      <c r="B25" t="inlineStr">
        <is>
          <t xml:space="preserve">Grenergy</t>
        </is>
      </c>
      <c r="C25">
        <v>430</v>
      </c>
      <c r="D25">
        <v>3010</v>
      </c>
      <c r="E25" t="inlineStr">
        <is>
          <t xml:space="preserve">En pruebas (Min. Energia ago-26; inaugurado 08-jun-2026)</t>
        </is>
      </c>
      <c r="F25" t="inlineStr">
        <is>
          <t xml:space="preserve">BYD (MC Cube-T; 6.240 uds / 624 contenedores)</t>
        </is>
      </c>
      <c r="G25" t="inlineStr">
        <is>
          <t xml:space="preserve">Alta</t>
        </is>
      </c>
      <c r="H25" t="inlineStr">
        <is>
          <t xml:space="preserve">Grenergy, comunicado 21-05-2025; energy-storage.news 06-2026</t>
        </is>
      </c>
    </row>
    <row r="26" spans="1:8">
      <c r="A26" t="inlineStr">
        <is>
          <t xml:space="preserve">Observatorio (PV+BESS)</t>
        </is>
      </c>
      <c r="B26" t="inlineStr">
        <is>
          <t xml:space="preserve">Verano Energy</t>
        </is>
      </c>
      <c r="C26">
        <v>152</v>
      </c>
      <c r="D26">
        <v>606</v>
      </c>
      <c r="E26" t="inlineStr">
        <is>
          <t xml:space="preserve">Contrato anunciado (ago-2026)</t>
        </is>
      </c>
      <c r="F26" t="inlineStr">
        <is>
          <t xml:space="preserve">Sungrow (PowerTitan 2)</t>
        </is>
      </c>
      <c r="G26" t="inlineStr">
        <is>
          <t xml:space="preserve">Alta</t>
        </is>
      </c>
      <c r="H26" t="inlineStr">
        <is>
          <t xml:space="preserve">ess-news.com 12-08-2026</t>
        </is>
      </c>
    </row>
    <row r="27" spans="1:8">
      <c r="A27" t="inlineStr">
        <is>
          <t xml:space="preserve">Complejo PV+BESS BHP</t>
        </is>
      </c>
      <c r="B27" t="inlineStr">
        <is>
          <t xml:space="preserve">BHP</t>
        </is>
      </c>
      <c r="C27" t="inlineStr">
        <is>
          <t xml:space="preserve">n/d</t>
        </is>
      </c>
      <c r="D27">
        <v>960</v>
      </c>
      <c r="E27" t="inlineStr">
        <is>
          <t xml:space="preserve">Contrato anunciado (jul-2026)</t>
        </is>
      </c>
      <c r="F27" t="inlineStr">
        <is>
          <t xml:space="preserve">Sungrow</t>
        </is>
      </c>
      <c r="G27" t="inlineStr">
        <is>
          <t xml:space="preserve">Media</t>
        </is>
      </c>
      <c r="H27" t="inlineStr">
        <is>
          <t xml:space="preserve">Prensa sectorial 07-2026</t>
        </is>
      </c>
    </row>
    <row r="28" spans="1:8">
      <c r="A28" t="inlineStr">
        <is>
          <t xml:space="preserve">Nota</t>
        </is>
      </c>
      <c r="B28" t="inlineStr">
        <is>
          <t xml:space="preserve">BESS Elena es la primera atribucion Alta a BYD en Chile en esta hoja. NO entra en el share porque el CEN/Min. Energia</t>
        </is>
      </c>
    </row>
    <row r="29" spans="1:8">
      <c r="B29" t="inlineStr">
        <is>
          <t xml:space="preserve">lo clasifica En Pruebas a ago-26, no En Operacion. Pasa a la seccion 1 en cuanto ACERA lo reporte en operacion.</t>
        </is>
      </c>
    </row>
    <row r="31" spans="1:8">
      <c r="A31" t="inlineStr">
        <is>
          <t xml:space="preserve">3. COBERTURA DE LA MUESTRA SOBRE LA BASE INSTALADA</t>
        </is>
      </c>
    </row>
    <row r="32" spans="1:8">
      <c r="A32" t="inlineStr">
        <is>
          <t xml:space="preserve">Criterio</t>
        </is>
      </c>
      <c r="B32" t="inlineStr">
        <is>
          <t xml:space="preserve">MW atribuidos</t>
        </is>
      </c>
      <c r="C32" t="inlineStr">
        <is>
          <t xml:space="preserve">MW universo</t>
        </is>
      </c>
      <c r="D32" t="inlineStr">
        <is>
          <t xml:space="preserve">Cobertura MW</t>
        </is>
      </c>
      <c r="E32" t="inlineStr">
        <is>
          <t xml:space="preserve">MWh atribuidos</t>
        </is>
      </c>
      <c r="F32" t="inlineStr">
        <is>
          <t xml:space="preserve">MWh universo</t>
        </is>
      </c>
      <c r="G32" t="inlineStr">
        <is>
          <t xml:space="preserve">Cobertura MWh</t>
        </is>
      </c>
    </row>
    <row r="33" spans="1:8">
      <c r="A33" t="inlineStr">
        <is>
          <t xml:space="preserve">Solo confianza Alta</t>
        </is>
      </c>
      <c r="B33">
        <v>312</v>
      </c>
      <c r="C33">
        <v>3116</v>
      </c>
      <c r="D33">
        <v>0.10012836970474968</v>
      </c>
      <c r="E33">
        <v>1557</v>
      </c>
      <c r="F33">
        <v>13522</v>
      </c>
      <c r="G33">
        <v>0.11514568850761722</v>
      </c>
    </row>
    <row r="34" spans="1:8">
      <c r="A34" t="inlineStr">
        <is>
          <t xml:space="preserve">Alta + Media</t>
        </is>
      </c>
      <c r="B34">
        <v>451</v>
      </c>
      <c r="C34">
        <v>3116</v>
      </c>
      <c r="D34">
        <v>0.14473684210526316</v>
      </c>
      <c r="E34">
        <v>2195</v>
      </c>
      <c r="F34">
        <v>13522</v>
      </c>
      <c r="G34">
        <v>0.16232805797958882</v>
      </c>
    </row>
    <row r="35" spans="1:8">
      <c r="A35" t="inlineStr">
        <is>
          <t xml:space="preserve">Nota</t>
        </is>
      </c>
      <c r="B35" t="inlineStr">
        <is>
          <t xml:space="preserve">Virtual Reservoir II aporta MWh pero su MW no esta confirmado; no suma a los MW atribuidos.</t>
        </is>
      </c>
    </row>
    <row r="36" spans="1:8">
      <c r="A36" t="inlineStr">
        <is>
          <t xml:space="preserve">Nota</t>
        </is>
      </c>
      <c r="B36" t="inlineStr">
        <is>
          <t xml:space="preserve">La cobertura BAJA respecto de la corrida anterior (11,8% -&gt; 10,0% en MW) sin que se perdiera ninguna atribucion:</t>
        </is>
      </c>
    </row>
    <row r="37" spans="1:8">
      <c r="B37" t="inlineStr">
        <is>
          <t xml:space="preserve">el universo ACERA crecio de 2.655 a 3.116 MW y ninguno de los proyectos que entraron en operacion tiene fabricante publico.</t>
        </is>
      </c>
    </row>
    <row r="39" spans="1:8">
      <c r="A39" t="inlineStr">
        <is>
          <t xml:space="preserve">4. CONCLUSION</t>
        </is>
      </c>
    </row>
    <row r="40" spans="1:8">
      <c r="B40" t="inlineStr">
        <is>
          <t xml:space="preserve">Con cobertura de 10%-14% de los MW instalados (12%-16% de los MWh), cualquier reparto porcentual entre</t>
        </is>
      </c>
    </row>
    <row r="41" spans="1:8">
      <c r="B41" t="inlineStr">
        <is>
          <t xml:space="preserve">fabricantes estaria determinado por los proyectos SIN atribucion, no por los atribuidos. Publicar un share</t>
        </is>
      </c>
    </row>
    <row r="42" spans="1:8">
      <c r="B42" t="inlineStr">
        <is>
          <t xml:space="preserve">con esta base seria dar una precision que la metodologia no sostiene, lo que la regla del repo prohibe.</t>
        </is>
      </c>
    </row>
    <row r="43" spans="1:8">
      <c r="B43" t="inlineStr">
        <is>
          <t xml:space="preserve">Lectura cualitativa admisible: entre los proyectos con fabricante confirmado publicamente aparecen Sungrow y</t>
        </is>
      </c>
    </row>
    <row r="44" spans="1:8">
      <c r="B44" t="inlineStr">
        <is>
          <t xml:space="preserve">Fluence en base instalada, y BYD con el mayor sistema individual del pais (Elena, 3.010 MWh) todavia en pruebas.</t>
        </is>
      </c>
    </row>
    <row r="45" spans="1:8">
      <c r="B45" t="inlineStr">
        <is>
          <t xml:space="preserve">NO se debe leer como un ranking de mercado: es lo que se puede ver, no lo que hay. CATL, Tesla, Wartsila, Trina,</t>
        </is>
      </c>
    </row>
    <row r="46" spans="1:8">
      <c r="B46" t="inlineStr">
        <is>
          <t xml:space="preserve">Huawei y e-STORAGE no aparecen con atribucion publica confirmada en proyectos chilenos en esta corrida.</t>
        </is>
      </c>
    </row>
    <row r="48" spans="1:8">
      <c r="A48" t="inlineStr">
        <is>
          <t xml:space="preserve">5. PROYECTOS SIN FABRICANTE CONFIRMADO - EN OPERACION (pesan en el universo, no en el numerador)</t>
        </is>
      </c>
    </row>
    <row r="49" spans="1:8">
      <c r="A49" t="inlineStr">
        <is>
          <t xml:space="preserve">Proyecto</t>
        </is>
      </c>
      <c r="B49" t="inlineStr">
        <is>
          <t xml:space="preserve">Titular</t>
        </is>
      </c>
      <c r="C49" t="inlineStr">
        <is>
          <t xml:space="preserve">MW</t>
        </is>
      </c>
      <c r="D49" t="inlineStr">
        <is>
          <t xml:space="preserve">MWh</t>
        </is>
      </c>
      <c r="E49" t="inlineStr">
        <is>
          <t xml:space="preserve">Entrada en operacion</t>
        </is>
      </c>
      <c r="F49" t="inlineStr">
        <is>
          <t xml:space="preserve">Fuente</t>
        </is>
      </c>
    </row>
    <row r="50" spans="1:8">
      <c r="A50" t="inlineStr">
        <is>
          <t xml:space="preserve">BESS - Gabriela Solar</t>
        </is>
      </c>
      <c r="B50" t="inlineStr">
        <is>
          <t xml:space="preserve">Grenergy</t>
        </is>
      </c>
      <c r="C50">
        <v>220</v>
      </c>
      <c r="D50">
        <v>1100</v>
      </c>
      <c r="E50" t="inlineStr">
        <is>
          <t xml:space="preserve">ago-2026</t>
        </is>
      </c>
      <c r="F50" t="inlineStr">
        <is>
          <t xml:space="preserve">Min. Energia ago-26, Tabla 2</t>
        </is>
      </c>
    </row>
    <row r="51" spans="1:8">
      <c r="A51" t="inlineStr">
        <is>
          <t xml:space="preserve">BESS Libelula</t>
        </is>
      </c>
      <c r="B51" t="inlineStr">
        <is>
          <t xml:space="preserve">Engie</t>
        </is>
      </c>
      <c r="C51">
        <v>199</v>
      </c>
      <c r="D51">
        <v>960</v>
      </c>
      <c r="E51" t="inlineStr">
        <is>
          <t xml:space="preserve">ago-2026</t>
        </is>
      </c>
      <c r="F51" t="inlineStr">
        <is>
          <t xml:space="preserve">Min. Energia ago-26, Tabla 2</t>
        </is>
      </c>
    </row>
    <row r="52" spans="1:8">
      <c r="A52" t="inlineStr">
        <is>
          <t xml:space="preserve">BESS Los Loros</t>
        </is>
      </c>
      <c r="B52" t="inlineStr">
        <is>
          <t xml:space="preserve">Engie</t>
        </is>
      </c>
      <c r="C52">
        <v>46</v>
      </c>
      <c r="D52">
        <v>230</v>
      </c>
      <c r="E52" t="inlineStr">
        <is>
          <t xml:space="preserve">ago-2026</t>
        </is>
      </c>
      <c r="F52" t="inlineStr">
        <is>
          <t xml:space="preserve">Min. Energia ago-26, Tabla 2</t>
        </is>
      </c>
    </row>
    <row r="53" spans="1:8">
      <c r="A53" t="inlineStr">
        <is>
          <t xml:space="preserve">BESS Arica II</t>
        </is>
      </c>
      <c r="B53" t="inlineStr">
        <is>
          <t xml:space="preserve">Engie</t>
        </is>
      </c>
      <c r="C53">
        <v>30</v>
      </c>
      <c r="D53">
        <v>150</v>
      </c>
      <c r="E53" t="inlineStr">
        <is>
          <t xml:space="preserve">ago-2026</t>
        </is>
      </c>
      <c r="F53" t="inlineStr">
        <is>
          <t xml:space="preserve">Min. Energia ago-26, Tabla 2</t>
        </is>
      </c>
    </row>
    <row r="54" spans="1:8">
      <c r="A54" t="inlineStr">
        <is>
          <t xml:space="preserve">BESS Lota II</t>
        </is>
      </c>
      <c r="B54" t="inlineStr">
        <is>
          <t xml:space="preserve">Tedlar Marte SpA</t>
        </is>
      </c>
      <c r="C54">
        <v>2</v>
      </c>
      <c r="D54">
        <v>12</v>
      </c>
      <c r="E54" t="inlineStr">
        <is>
          <t xml:space="preserve">ago-2026</t>
        </is>
      </c>
      <c r="F54" t="inlineStr">
        <is>
          <t xml:space="preserve">Min. Energia ago-26, Tabla 2</t>
        </is>
      </c>
    </row>
    <row r="55" spans="1:8">
      <c r="A55" t="inlineStr">
        <is>
          <t xml:space="preserve">BESS Estepa Solar</t>
        </is>
      </c>
      <c r="B55" t="inlineStr">
        <is>
          <t xml:space="preserve">Atlas</t>
        </is>
      </c>
      <c r="C55">
        <v>188</v>
      </c>
      <c r="D55">
        <v>752</v>
      </c>
      <c r="E55" t="inlineStr">
        <is>
          <t xml:space="preserve">jul-2026</t>
        </is>
      </c>
      <c r="F55" t="inlineStr">
        <is>
          <t xml:space="preserve">Min. Energia jul-26, Tabla 2</t>
        </is>
      </c>
    </row>
    <row r="56" spans="1:8">
      <c r="A56" t="inlineStr">
        <is>
          <t xml:space="preserve">Bolero BESS</t>
        </is>
      </c>
      <c r="B56" t="inlineStr">
        <is>
          <t xml:space="preserve">AES Andes</t>
        </is>
      </c>
      <c r="C56">
        <v>146</v>
      </c>
      <c r="D56">
        <v>438</v>
      </c>
      <c r="E56" t="inlineStr">
        <is>
          <t xml:space="preserve">jul-2026</t>
        </is>
      </c>
      <c r="F56" t="inlineStr">
        <is>
          <t xml:space="preserve">Min. Energia jul-26, Tabla 2</t>
        </is>
      </c>
    </row>
    <row r="57" spans="1:8">
      <c r="A57" t="inlineStr">
        <is>
          <t xml:space="preserve">Arena BESS CI GMF II</t>
        </is>
      </c>
      <c r="B57" t="inlineStr">
        <is>
          <t xml:space="preserve">GMF II Arena ProjectCo SpA</t>
        </is>
      </c>
      <c r="C57">
        <v>220</v>
      </c>
      <c r="D57" t="inlineStr">
        <is>
          <t xml:space="preserve">n/d</t>
        </is>
      </c>
      <c r="E57" t="inlineStr">
        <is>
          <t xml:space="preserve">jun-2026</t>
        </is>
      </c>
      <c r="F57" t="inlineStr">
        <is>
          <t xml:space="preserve">Min. Energia jun-26</t>
        </is>
      </c>
    </row>
    <row r="58" spans="1:8">
      <c r="A58" t="inlineStr">
        <is>
          <t xml:space="preserve">Andes Solar IV (BESS)</t>
        </is>
      </c>
      <c r="B58" t="inlineStr">
        <is>
          <t xml:space="preserve">AES Andes</t>
        </is>
      </c>
      <c r="C58">
        <v>130</v>
      </c>
      <c r="D58" t="inlineStr">
        <is>
          <t xml:space="preserve">n/d</t>
        </is>
      </c>
      <c r="E58" t="inlineStr">
        <is>
          <t xml:space="preserve">2026</t>
        </is>
      </c>
      <c r="F58" t="inlineStr">
        <is>
          <t xml:space="preserve">Corrida anterior</t>
        </is>
      </c>
    </row>
    <row r="60" spans="1:8">
      <c r="A60" t="inlineStr">
        <is>
          <t xml:space="preserve">6. PROYECTOS EN PRUEBAS SIN FABRICANTE CONFIRMADO (Min. Energia ago-26, Tabla 4 - 23 sistemas, 2.686 MW / 12.408 MWh)</t>
        </is>
      </c>
    </row>
    <row r="61" spans="1:8">
      <c r="A61" t="inlineStr">
        <is>
          <t xml:space="preserve">Proyecto</t>
        </is>
      </c>
      <c r="B61" t="inlineStr">
        <is>
          <t xml:space="preserve">Titular</t>
        </is>
      </c>
      <c r="C61" t="inlineStr">
        <is>
          <t xml:space="preserve">MW</t>
        </is>
      </c>
      <c r="D61" t="inlineStr">
        <is>
          <t xml:space="preserve">MWh</t>
        </is>
      </c>
    </row>
    <row r="62" spans="1:8">
      <c r="A62" t="inlineStr">
        <is>
          <t xml:space="preserve">BESS Elena Fase I</t>
        </is>
      </c>
      <c r="B62" t="inlineStr">
        <is>
          <t xml:space="preserve">Grenergy</t>
        </is>
      </c>
      <c r="C62">
        <v>430</v>
      </c>
      <c r="D62">
        <v>3010</v>
      </c>
    </row>
    <row r="63" spans="1:8">
      <c r="A63" t="inlineStr">
        <is>
          <t xml:space="preserve">BESS - Parque Fotovoltaico Cristales</t>
        </is>
      </c>
      <c r="B63" t="inlineStr">
        <is>
          <t xml:space="preserve">AES Andes</t>
        </is>
      </c>
      <c r="C63">
        <v>340</v>
      </c>
      <c r="D63">
        <v>1360</v>
      </c>
    </row>
    <row r="64" spans="1:8">
      <c r="A64" t="inlineStr">
        <is>
          <t xml:space="preserve">BESS Arenales</t>
        </is>
      </c>
      <c r="B64" t="inlineStr">
        <is>
          <t xml:space="preserve">AES Andes</t>
        </is>
      </c>
      <c r="C64">
        <v>300</v>
      </c>
      <c r="D64">
        <v>900</v>
      </c>
    </row>
    <row r="65" spans="1:8">
      <c r="A65" t="inlineStr">
        <is>
          <t xml:space="preserve">BESS Estepa II</t>
        </is>
      </c>
      <c r="B65" t="inlineStr">
        <is>
          <t xml:space="preserve">Atlas</t>
        </is>
      </c>
      <c r="C65">
        <v>230</v>
      </c>
      <c r="D65">
        <v>920</v>
      </c>
    </row>
    <row r="66" spans="1:8">
      <c r="A66" t="inlineStr">
        <is>
          <t xml:space="preserve">BESS Chaca (Proyecto Celda Solar)</t>
        </is>
      </c>
      <c r="B66" t="inlineStr">
        <is>
          <t xml:space="preserve">Colbun</t>
        </is>
      </c>
      <c r="C66">
        <v>228</v>
      </c>
      <c r="D66">
        <v>912</v>
      </c>
    </row>
    <row r="67" spans="1:8">
      <c r="A67" t="inlineStr">
        <is>
          <t xml:space="preserve">BESS Estela (Ex-BESS PFV Aurora Solar)</t>
        </is>
      </c>
      <c r="B67" t="inlineStr">
        <is>
          <t xml:space="preserve">Zelestra Energy</t>
        </is>
      </c>
      <c r="C67">
        <v>187</v>
      </c>
      <c r="D67">
        <v>935</v>
      </c>
    </row>
    <row r="68" spans="1:8">
      <c r="A68" t="inlineStr">
        <is>
          <t xml:space="preserve">BESS Lile</t>
        </is>
      </c>
      <c r="B68" t="inlineStr">
        <is>
          <t xml:space="preserve">Engie</t>
        </is>
      </c>
      <c r="C68">
        <v>140</v>
      </c>
      <c r="D68">
        <v>798</v>
      </c>
    </row>
    <row r="69" spans="1:8">
      <c r="A69" t="inlineStr">
        <is>
          <t xml:space="preserve">BESS Taira</t>
        </is>
      </c>
      <c r="B69" t="inlineStr">
        <is>
          <t xml:space="preserve">Metlen</t>
        </is>
      </c>
      <c r="C69">
        <v>124</v>
      </c>
      <c r="D69">
        <v>619</v>
      </c>
    </row>
    <row r="70" spans="1:8">
      <c r="A70" t="inlineStr">
        <is>
          <t xml:space="preserve">BESS Granja Solar</t>
        </is>
      </c>
      <c r="B70" t="inlineStr">
        <is>
          <t xml:space="preserve">Copec Renovables</t>
        </is>
      </c>
      <c r="C70">
        <v>105</v>
      </c>
      <c r="D70">
        <v>420</v>
      </c>
    </row>
    <row r="71" spans="1:8">
      <c r="A71" t="inlineStr">
        <is>
          <t xml:space="preserve">BESS Huatacondo</t>
        </is>
      </c>
      <c r="B71" t="inlineStr">
        <is>
          <t xml:space="preserve">Sojitz</t>
        </is>
      </c>
      <c r="C71">
        <v>98</v>
      </c>
      <c r="D71">
        <v>98</v>
      </c>
    </row>
    <row r="72" spans="1:8">
      <c r="A72" t="inlineStr">
        <is>
          <t xml:space="preserve">BESS Tamarico</t>
        </is>
      </c>
      <c r="B72" t="inlineStr">
        <is>
          <t xml:space="preserve">Metlen</t>
        </is>
      </c>
      <c r="C72">
        <v>90</v>
      </c>
      <c r="D72">
        <v>450</v>
      </c>
    </row>
    <row r="73" spans="1:8">
      <c r="A73" t="inlineStr">
        <is>
          <t xml:space="preserve">BESS Sol de Los Andes</t>
        </is>
      </c>
      <c r="B73" t="inlineStr">
        <is>
          <t xml:space="preserve">OPDE</t>
        </is>
      </c>
      <c r="C73">
        <v>90</v>
      </c>
      <c r="D73">
        <v>449</v>
      </c>
    </row>
    <row r="74" spans="1:8">
      <c r="A74" t="inlineStr">
        <is>
          <t xml:space="preserve">BESS - PFV Willka</t>
        </is>
      </c>
      <c r="B74" t="inlineStr">
        <is>
          <t xml:space="preserve">Metlen</t>
        </is>
      </c>
      <c r="C74">
        <v>61</v>
      </c>
      <c r="D74">
        <v>307</v>
      </c>
    </row>
    <row r="75" spans="1:8">
      <c r="A75" t="inlineStr">
        <is>
          <t xml:space="preserve">Punta de Talca BESS</t>
        </is>
      </c>
      <c r="B75" t="inlineStr">
        <is>
          <t xml:space="preserve">EDP Renewables Chile</t>
        </is>
      </c>
      <c r="C75">
        <v>60</v>
      </c>
      <c r="D75">
        <v>240</v>
      </c>
    </row>
    <row r="76" spans="1:8">
      <c r="A76" t="inlineStr">
        <is>
          <t xml:space="preserve">BESS Kallpa (Ex Santa Lya)</t>
        </is>
      </c>
      <c r="B76" t="inlineStr">
        <is>
          <t xml:space="preserve">Engie</t>
        </is>
      </c>
      <c r="C76">
        <v>57</v>
      </c>
      <c r="D76">
        <v>285</v>
      </c>
    </row>
    <row r="77" spans="1:8">
      <c r="A77" t="inlineStr">
        <is>
          <t xml:space="preserve">BESS Dona Antonia</t>
        </is>
      </c>
      <c r="B77" t="inlineStr">
        <is>
          <t xml:space="preserve">Metlen</t>
        </is>
      </c>
      <c r="C77">
        <v>47</v>
      </c>
      <c r="D77">
        <v>234</v>
      </c>
    </row>
    <row r="78" spans="1:8">
      <c r="A78" t="inlineStr">
        <is>
          <t xml:space="preserve">BESS - PFV San Andres II</t>
        </is>
      </c>
      <c r="B78" t="inlineStr">
        <is>
          <t xml:space="preserve">Innergex</t>
        </is>
      </c>
      <c r="C78">
        <v>42</v>
      </c>
      <c r="D78">
        <v>210</v>
      </c>
    </row>
    <row r="79" spans="1:8">
      <c r="A79" t="inlineStr">
        <is>
          <t xml:space="preserve">BESS II Salvador</t>
        </is>
      </c>
      <c r="B79" t="inlineStr">
        <is>
          <t xml:space="preserve">Innergex</t>
        </is>
      </c>
      <c r="C79">
        <v>20</v>
      </c>
      <c r="D79">
        <v>100</v>
      </c>
    </row>
    <row r="80" spans="1:8">
      <c r="A80" t="inlineStr">
        <is>
          <t xml:space="preserve">BESS Santa Marta</t>
        </is>
      </c>
      <c r="B80" t="inlineStr">
        <is>
          <t xml:space="preserve">Empresa Consorcio Santa Marta</t>
        </is>
      </c>
      <c r="C80">
        <v>10</v>
      </c>
      <c r="D80">
        <v>50</v>
      </c>
    </row>
    <row r="81" spans="1:8">
      <c r="A81" t="inlineStr">
        <is>
          <t xml:space="preserve">BESS PFV San Ramon</t>
        </is>
      </c>
      <c r="B81" t="inlineStr">
        <is>
          <t xml:space="preserve">PSF San Ramon SpA</t>
        </is>
      </c>
      <c r="C81">
        <v>9</v>
      </c>
      <c r="D81">
        <v>36</v>
      </c>
    </row>
    <row r="82" spans="1:8">
      <c r="A82" t="inlineStr">
        <is>
          <t xml:space="preserve">BESS Los Quilos</t>
        </is>
      </c>
      <c r="B82" t="inlineStr">
        <is>
          <t xml:space="preserve">PSF Los Quilos SpA</t>
        </is>
      </c>
      <c r="C82">
        <v>9</v>
      </c>
      <c r="D82">
        <v>33</v>
      </c>
    </row>
    <row r="83" spans="1:8">
      <c r="A83" t="inlineStr">
        <is>
          <t xml:space="preserve">BESS Los Maitenes</t>
        </is>
      </c>
      <c r="B83" t="inlineStr">
        <is>
          <t xml:space="preserve">Orion Power SpA</t>
        </is>
      </c>
      <c r="C83">
        <v>5</v>
      </c>
      <c r="D83">
        <v>22</v>
      </c>
    </row>
    <row r="84" spans="1:8">
      <c r="A84" t="inlineStr">
        <is>
          <t xml:space="preserve">PSF BESS Las Violetas</t>
        </is>
      </c>
      <c r="B84" t="inlineStr">
        <is>
          <t xml:space="preserve">PSF Las Violetas SpA</t>
        </is>
      </c>
      <c r="C84">
        <v>4</v>
      </c>
      <c r="D84">
        <v>22</v>
      </c>
    </row>
    <row r="85" spans="1:8">
      <c r="A85" t="inlineStr">
        <is>
          <t xml:space="preserve">Nota</t>
        </is>
      </c>
      <c r="B85" t="inlineStr">
        <is>
          <t xml:space="preserve">BESS Elena Fase I si tiene fabricante confirmado (BYD, seccion 2); se lista aqui por completitud de la Tabla 4.</t>
        </is>
      </c>
    </row>
    <row r="87" spans="1:8">
      <c r="B87" t="inlineStr">
        <is>
          <t xml:space="preserve">Para elevar la cobertura en proximas corridas: licitaciones adjudicadas (CEN/CNE), memorias anuales de los</t>
        </is>
      </c>
    </row>
    <row r="88" spans="1:8">
      <c r="B88" t="inlineStr">
        <is>
          <t xml:space="preserve">desarrolladores, y comunicados de los propios fabricantes son las vias con mayor tasa de atribucion confirmada.</t>
        </is>
      </c>
    </row>
    <row r="90" spans="1:8">
      <c r="A90" t="inlineStr">
        <is>
          <t xml:space="preserve">7. MAIN FUTURE PROJECTS (&gt;= ~1000 MWh)</t>
        </is>
      </c>
    </row>
    <row r="91" spans="1:8">
      <c r="A91" t="inlineStr">
        <is>
          <t xml:space="preserve">Fuente: Min. Energia, Reporte de Proyectos agosto 2026 (/MIN ENERGIA/), Tablas 4 y 6, + busqueda abierta al 2026-10-08.</t>
        </is>
      </c>
    </row>
    <row r="92" spans="1:8">
      <c r="A92" t="inlineStr">
        <is>
          <t xml:space="preserve">Proyecto</t>
        </is>
      </c>
      <c r="B92" t="inlineStr">
        <is>
          <t xml:space="preserve">Titular</t>
        </is>
      </c>
      <c r="C92" t="inlineStr">
        <is>
          <t xml:space="preserve">MW</t>
        </is>
      </c>
      <c r="D92" t="inlineStr">
        <is>
          <t xml:space="preserve">MWh</t>
        </is>
      </c>
      <c r="E92" t="inlineStr">
        <is>
          <t xml:space="preserve">Etapa</t>
        </is>
      </c>
      <c r="F92" t="inlineStr">
        <is>
          <t xml:space="preserve">Movimiento en esta corrida</t>
        </is>
      </c>
    </row>
    <row r="93" spans="1:8">
      <c r="A93" t="inlineStr">
        <is>
          <t xml:space="preserve">BESS Elena Fase I</t>
        </is>
      </c>
      <c r="B93" t="inlineStr">
        <is>
          <t xml:space="preserve">Grenergy</t>
        </is>
      </c>
      <c r="C93">
        <v>430</v>
      </c>
      <c r="D93">
        <v>3010</v>
      </c>
      <c r="E93" t="inlineStr">
        <is>
          <t xml:space="preserve">En pruebas</t>
        </is>
      </c>
      <c r="F93" t="inlineStr">
        <is>
          <t xml:space="preserve">Se mantiene</t>
        </is>
      </c>
    </row>
    <row r="94" spans="1:8">
      <c r="A94" t="inlineStr">
        <is>
          <t xml:space="preserve">Sandstone BESS IV (Ex-Patache BESS)</t>
        </is>
      </c>
      <c r="B94" t="inlineStr">
        <is>
          <t xml:space="preserve">Copenhagen Infrastructure Partners</t>
        </is>
      </c>
      <c r="C94">
        <v>300</v>
      </c>
      <c r="D94">
        <v>1500</v>
      </c>
      <c r="E94" t="inlineStr">
        <is>
          <t xml:space="preserve">En construccion (oct-27)</t>
        </is>
      </c>
      <c r="F94" t="inlineStr">
        <is>
          <t xml:space="preserve">Se mantiene</t>
        </is>
      </c>
    </row>
    <row r="95" spans="1:8">
      <c r="A95" t="inlineStr">
        <is>
          <t xml:space="preserve">BESS - Parque Fotovoltaico Cristales</t>
        </is>
      </c>
      <c r="B95" t="inlineStr">
        <is>
          <t xml:space="preserve">AES Andes</t>
        </is>
      </c>
      <c r="C95">
        <v>340</v>
      </c>
      <c r="D95">
        <v>1360</v>
      </c>
      <c r="E95" t="inlineStr">
        <is>
          <t xml:space="preserve">En pruebas</t>
        </is>
      </c>
      <c r="F95" t="inlineStr">
        <is>
          <t xml:space="preserve">Se mantiene</t>
        </is>
      </c>
    </row>
    <row r="96" spans="1:8">
      <c r="A96" t="inlineStr">
        <is>
          <t xml:space="preserve">BESS - Parque Hibrido Pampas</t>
        </is>
      </c>
      <c r="B96" t="inlineStr">
        <is>
          <t xml:space="preserve">AES Andes</t>
        </is>
      </c>
      <c r="C96">
        <v>340</v>
      </c>
      <c r="D96">
        <v>1360</v>
      </c>
      <c r="E96" t="inlineStr">
        <is>
          <t xml:space="preserve">En construccion (sept-26); operacion comercial prevista 2027</t>
        </is>
      </c>
      <c r="F96" t="inlineStr">
        <is>
          <t xml:space="preserve">Se mantiene</t>
        </is>
      </c>
    </row>
    <row r="97" spans="1:8">
      <c r="A97" t="inlineStr">
        <is>
          <t xml:space="preserve">BESS Tarapaca</t>
        </is>
      </c>
      <c r="B97" t="inlineStr">
        <is>
          <t xml:space="preserve">FRV</t>
        </is>
      </c>
      <c r="C97">
        <v>336</v>
      </c>
      <c r="D97">
        <v>1344</v>
      </c>
      <c r="E97" t="inlineStr">
        <is>
          <t xml:space="preserve">En construccion (mar-27)</t>
        </is>
      </c>
      <c r="F97" t="inlineStr">
        <is>
          <t xml:space="preserve">Se mantiene</t>
        </is>
      </c>
    </row>
    <row r="98" spans="1:8">
      <c r="A98" t="inlineStr">
        <is>
          <t xml:space="preserve">BESS DUNE</t>
        </is>
      </c>
      <c r="B98" t="inlineStr">
        <is>
          <t xml:space="preserve">Generadora Metropolitana</t>
        </is>
      </c>
      <c r="C98">
        <v>306</v>
      </c>
      <c r="D98">
        <v>1334</v>
      </c>
      <c r="E98" t="inlineStr">
        <is>
          <t xml:space="preserve">En construccion (mar-27)</t>
        </is>
      </c>
      <c r="F98" t="inlineStr">
        <is>
          <t xml:space="preserve">Se mantiene</t>
        </is>
      </c>
    </row>
    <row r="99" spans="1:8">
      <c r="A99" t="inlineStr">
        <is>
          <t xml:space="preserve">BESS - PFV Algarrobal 200 MW</t>
        </is>
      </c>
      <c r="B99" t="inlineStr">
        <is>
          <t xml:space="preserve">Grenergy</t>
        </is>
      </c>
      <c r="C99">
        <v>200</v>
      </c>
      <c r="D99">
        <v>1300</v>
      </c>
      <c r="E99" t="inlineStr">
        <is>
          <t xml:space="preserve">En construccion (ene-27)</t>
        </is>
      </c>
      <c r="F99" t="inlineStr">
        <is>
          <t xml:space="preserve">Se mantiene</t>
        </is>
      </c>
    </row>
    <row r="100" spans="1:8">
      <c r="A100" t="inlineStr">
        <is>
          <t xml:space="preserve">BESS PFV Malgarida II</t>
        </is>
      </c>
      <c r="B100" t="inlineStr">
        <is>
          <t xml:space="preserve">Acciona</t>
        </is>
      </c>
      <c r="C100">
        <v>200</v>
      </c>
      <c r="D100">
        <v>1000</v>
      </c>
      <c r="E100" t="inlineStr">
        <is>
          <t xml:space="preserve">En construccion (abr-27)</t>
        </is>
      </c>
      <c r="F100" t="inlineStr">
        <is>
          <t xml:space="preserve">Se mantiene</t>
        </is>
      </c>
    </row>
    <row r="101" spans="1:8">
      <c r="A101" t="inlineStr">
        <is>
          <t xml:space="preserve">BESS Guanchoi</t>
        </is>
      </c>
      <c r="B101" t="inlineStr">
        <is>
          <t xml:space="preserve">Enel Green Power Chile</t>
        </is>
      </c>
      <c r="C101">
        <v>356</v>
      </c>
      <c r="D101">
        <v>2136</v>
      </c>
      <c r="E101" t="inlineStr">
        <is>
          <t xml:space="preserve">Conexion a red autorizada (01-sep-26); debe declarar construccion ante la CNE antes de sep-2027</t>
        </is>
      </c>
      <c r="F101" t="inlineStr">
        <is>
          <t xml:space="preserve">Se mantiene (alta 2026-10-01)</t>
        </is>
      </c>
    </row>
    <row r="102" spans="1:8">
      <c r="A102" t="inlineStr">
        <is>
          <t xml:space="preserve">PFV Antofagasta 1 (BESS)</t>
        </is>
      </c>
      <c r="B102" t="inlineStr">
        <is>
          <t xml:space="preserve">Grenergy</t>
        </is>
      </c>
      <c r="C102">
        <v>430</v>
      </c>
      <c r="D102">
        <v>3010</v>
      </c>
      <c r="E102" t="inlineStr">
        <is>
          <t xml:space="preserve">En evaluacion ambiental (SEIA, ago-26); construccion prevista may-2028, conexion feb-2030</t>
        </is>
      </c>
      <c r="F102" t="inlineStr">
        <is>
          <t xml:space="preserve">Se mantiene (alta 2026-10-01)</t>
        </is>
      </c>
    </row>
    <row r="103" spans="1:8">
      <c r="A103" t="inlineStr">
        <is>
          <t xml:space="preserve">BESS Las Bateas</t>
        </is>
      </c>
      <c r="B103" t="inlineStr">
        <is>
          <t xml:space="preserve">BESS Las Bateas SpA</t>
        </is>
      </c>
      <c r="C103" t="inlineStr">
        <is>
          <t xml:space="preserve">n/d</t>
        </is>
      </c>
      <c r="D103">
        <v>1765</v>
      </c>
      <c r="E103" t="inlineStr">
        <is>
          <t xml:space="preserve">En evaluacion ambiental (SEIA, ingreso 15-sep-26); Tiltil, RM; US$266 M</t>
        </is>
      </c>
      <c r="F103" t="inlineStr">
        <is>
          <t xml:space="preserve">Se mantiene (alta 2026-10-01)</t>
        </is>
      </c>
    </row>
    <row r="104" spans="1:8">
      <c r="A104" t="inlineStr">
        <is>
          <t xml:space="preserve">BESS Huanil</t>
        </is>
      </c>
      <c r="B104" t="inlineStr">
        <is>
          <t xml:space="preserve">Limes Renewable Energy</t>
        </is>
      </c>
      <c r="C104">
        <v>200</v>
      </c>
      <c r="D104">
        <v>1000</v>
      </c>
      <c r="E104" t="inlineStr">
        <is>
          <t xml:space="preserve">Ready-to-Build (ago-26); Salamanca, Coquimbo</t>
        </is>
      </c>
      <c r="F104" t="inlineStr">
        <is>
          <t xml:space="preserve">Se mantiene (alta 2026-10-01)</t>
        </is>
      </c>
    </row>
    <row r="105" spans="1:8">
      <c r="A105" t="inlineStr">
        <is>
          <t xml:space="preserve">ERNC Antofagasta (ampliacion BESS)</t>
        </is>
      </c>
      <c r="B105" t="inlineStr">
        <is>
          <t xml:space="preserve">Grupo Ibereolica Renovables</t>
        </is>
      </c>
      <c r="C105">
        <v>990</v>
      </c>
      <c r="D105">
        <v>4950</v>
      </c>
      <c r="E105" t="inlineStr">
        <is>
          <t xml:space="preserve">Ampliacion de almacenamiento en consulta de pertinencia ante el SEA (resultado no publicado); proyecto base con RCA, 1.218 MW</t>
        </is>
      </c>
      <c r="F105" t="inlineStr">
        <is>
          <t xml:space="preserve">ALTA</t>
        </is>
      </c>
    </row>
    <row r="106" spans="1:8">
      <c r="A106" t="inlineStr">
        <is>
          <t xml:space="preserve">Black BESS</t>
        </is>
      </c>
      <c r="B106" t="inlineStr">
        <is>
          <t xml:space="preserve">Inversiones Black Solar (Grupo Mack Energy)</t>
        </is>
      </c>
      <c r="C106">
        <v>350</v>
      </c>
      <c r="D106">
        <v>1409</v>
      </c>
      <c r="E106" t="inlineStr">
        <is>
          <t xml:space="preserve">RCA aprobada abr-2026; Camarones, Arica y Parinacota; US$220 M; construccion 16 meses, inicio no confirmado</t>
        </is>
      </c>
      <c r="F106" t="inlineStr">
        <is>
          <t xml:space="preserve">ALTA</t>
        </is>
      </c>
    </row>
    <row r="107" spans="1:8">
      <c r="A107" t="inlineStr">
        <is>
          <t xml:space="preserve">Sidon Solar (BESS)</t>
        </is>
      </c>
      <c r="B107" t="inlineStr">
        <is>
          <t xml:space="preserve">Sidon Solar SpA (Trina Solar)</t>
        </is>
      </c>
      <c r="C107">
        <v>150</v>
      </c>
      <c r="D107">
        <v>1296</v>
      </c>
      <c r="E107" t="inlineStr">
        <is>
          <t xml:space="preserve">RCA aprobada 07-oct-2026 (DIA); Cabrero (Biobio) / Pemuco (Nuble); US$100 M; 158,17 MWdc FV asociados</t>
        </is>
      </c>
      <c r="F107" t="inlineStr">
        <is>
          <t xml:space="preserve">ALTA</t>
        </is>
      </c>
    </row>
    <row r="108" spans="1:8"/>
    <row r="109" spans="1:8">
      <c r="B109" t="inlineStr">
        <is>
          <t xml:space="preserve">Bajas en esta corrida: ninguna. Se verifico Pampas y Cristales (AES Andes): siguen con operacion comercial prevista</t>
        </is>
      </c>
    </row>
    <row r="110" spans="1:8">
      <c r="B110" t="inlineStr">
        <is>
          <t xml:space="preserve">para 2027, no entraron en operacion. Baja ya ejecutada en la corrida 2026-09-24: BESS - Gabriela Solar (Grenergy,</t>
        </is>
      </c>
    </row>
    <row r="111" spans="1:8">
      <c r="B111" t="inlineStr">
        <is>
          <t xml:space="preserve">220 MW / 1.100 MWh) entro en operacion.</t>
        </is>
      </c>
    </row>
    <row r="112" spans="1:8"/>
    <row r="113" spans="1:8">
      <c r="B113" t="inlineStr">
        <is>
          <t xml:space="preserve">Umbral aplicado: &gt;= ~1000 MWh. Quedan fuera por poco BESS Monte Aguila (Grenergy, 240 MW / 960 MWh) y</t>
        </is>
      </c>
    </row>
    <row r="114" spans="1:8">
      <c r="B114" t="inlineStr">
        <is>
          <t xml:space="preserve">BESS Copiapo Solar (Atlas, 233 MW / 932 MWh).</t>
        </is>
      </c>
    </row>
    <row r="115" spans="1:8">
      <c r="B115" t="inlineStr">
        <is>
          <t xml:space="preserve">A vigilar (aprobados ambientalmente en ago-26, aun sin construccion): BESS Imilac (FPG, 360 MW / 1.800 MWh) y</t>
        </is>
      </c>
    </row>
    <row r="116" spans="1:8">
      <c r="B116" t="inlineStr">
        <is>
          <t xml:space="preserve">GAIA BESS (GAIA Chile, 200 MW / 1.163 MWh) - Min. Energia ago-26, Tabla 12.</t>
        </is>
      </c>
    </row>
    <row r="117" spans="1:8">
      <c r="B117" t="inlineStr">
        <is>
          <t xml:space="preserve">Quedan fuera por no tener MWh publicado: BESS Ganso (Limes, 150 MW / 5 h, Valparaiso) y Las Salinas BESS (Enel,</t>
        </is>
      </c>
    </row>
    <row r="118" spans="1:8">
      <c r="B118" t="inlineStr">
        <is>
          <t xml:space="preserve">205 MW / 4 h, en construccion). Las fuentes publican solo MW y horas; el MWh no se estima (regla de CLAUDE.md).</t>
        </is>
      </c>
    </row>
    <row r="119" spans="1:8"/>
    <row r="120" spans="1:8">
      <c r="B120" t="inlineStr">
        <is>
          <t xml:space="preserve">Fuentes de las 4 altas de la corrida 2026-10-01: ess-news.com 01-09-2026 (Guanchoi); ess-news.com 31-08-2026</t>
        </is>
      </c>
    </row>
    <row r="121" spans="1:8">
      <c r="B121" t="inlineStr">
        <is>
          <t xml:space="preserve">(Antofagasta 1); reporteminero.cl / portalminero.com 09-2026 (Las Bateas); ess-news.com 13-08-2026 (Huanil).</t>
        </is>
      </c>
    </row>
    <row r="122" spans="1:8">
      <c r="B122" t="inlineStr">
        <is>
          <t xml:space="preserve">Fuentes de las 3 altas de esta corrida (2026-10-08): saurenergy.com + ess-news.com 13-01-2026 (ERNC Antofagasta);</t>
        </is>
      </c>
    </row>
    <row r="123" spans="1:8">
      <c r="B123" t="inlineStr">
        <is>
          <t xml:space="preserve">ess-news.com 15-04-2026 + pv-magazine-latam.com 09-04-2026 (Black BESS); ess-news.com 08-10-2026 (Sidon Solar).</t>
        </is>
      </c>
    </row>
    <row r="124" spans="1:8"/>
    <row r="125" spans="1:8">
      <c r="B125" t="inlineStr">
        <is>
          <t xml:space="preserve">PFV Antofagasta 1 repite el dimensionamiento de Elena Fase I (430 MW / 3.010 MWh) pero es otro ingreso al SEIA, en</t>
        </is>
      </c>
    </row>
    <row r="126" spans="1:8">
      <c r="B126" t="inlineStr">
        <is>
          <t xml:space="preserve">Maria Elena (Antofagasta) y con otro calendario; se listan por separado, no es la misma fila duplicada.</t>
        </is>
      </c>
    </row>
    <row r="127" spans="1:8">
      <c r="B127" t="inlineStr">
        <is>
          <t xml:space="preserve">De BESS Las Bateas la fuente publica solo los MWh; su potencia en MW no esta publicada y no se estima (queda 'n/d').</t>
        </is>
      </c>
    </row>
    <row r="128" spans="1:8">
      <c r="B128" t="inlineStr">
        <is>
          <t xml:space="preserve">ERNC Antofagasta (Ibereolica) NO es el mismo proyecto que PFV Antofagasta 1 (Grenergy): distinto titular, distinto</t>
        </is>
      </c>
    </row>
    <row r="129" spans="1:8">
      <c r="B129" t="inlineStr">
        <is>
          <t xml:space="preserve">tamano (990 MW / 4.950 MWh vs 430 MW / 3.010 MWh) y distinto expediente. Ambos en la Region de Antofagasta.</t>
        </is>
      </c>
    </row>
    <row r="130" spans="1:8">
      <c r="B130" t="inlineStr">
        <is>
          <t xml:space="preserve">SENALIZADO (ERNC Antofagasta): la cifra 990 MW / 4.950 MWh viene de una sola fuente de prensa especializada y la</t>
        </is>
      </c>
    </row>
    <row r="131" spans="1:8">
      <c r="B131" t="inlineStr">
        <is>
          <t xml:space="preserve">consulta de pertinencia ante el SEA no tiene resultado publicado. El proyecto base (1.218 MW) si tiene RCA, pero con</t>
        </is>
      </c>
    </row>
    <row r="132" spans="1:8">
      <c r="B132" t="inlineStr">
        <is>
          <t xml:space="preserve">solo 15 MW de BESS. Se carga por tamano, con la etapa explicita; si el SEA rechaza la ampliacion, corresponde la baja.</t>
        </is>
      </c>
    </row>
    <row r="133" spans="1:8">
      <c r="B133" t="inlineStr">
        <is>
          <t xml:space="preserve">SENALIZADO (Sidon Solar): la fuente declara 1.296 MWh y a la vez "150 MW por cinco horas" (= 750 MWh), cifras que no</t>
        </is>
      </c>
    </row>
    <row r="134" spans="1:8">
      <c r="B134" t="inlineStr">
        <is>
          <t xml:space="preserve">cuadran entre si y que la fuente no reconcilia. Se carga el MWh publicado (1.296); la discrepancia queda a la vista.</t>
        </is>
      </c>
    </row>
    <row r="135" spans="1:8"/>
    <row r="136" spans="1:8">
      <c r="A136" t="inlineStr">
        <is>
          <t xml:space="preserve">BITACORA DE CORRIDAS</t>
        </is>
      </c>
    </row>
    <row r="137" spans="1:8">
      <c r="A137" t="inlineStr">
        <is>
          <t xml:space="preserve">Corrida</t>
        </is>
      </c>
      <c r="B137" t="inlineStr">
        <is>
          <t xml:space="preserve">Universo base instalada</t>
        </is>
      </c>
      <c r="C137" t="inlineStr">
        <is>
          <t xml:space="preserve">Cobertura MW (Alta)</t>
        </is>
      </c>
      <c r="D137" t="inlineStr">
        <is>
          <t xml:space="preserve">Cobertura MW (Alta+Media)</t>
        </is>
      </c>
      <c r="E137" t="inlineStr">
        <is>
          <t xml:space="preserve">Novedades de atribucion</t>
        </is>
      </c>
    </row>
    <row r="138" spans="1:8">
      <c r="A138" t="inlineStr">
        <is>
          <t xml:space="preserve">2026-08-27</t>
        </is>
      </c>
      <c r="B138" t="inlineStr">
        <is>
          <t xml:space="preserve">ACERA jul-26: 2.655 MW / 11.250 MWh</t>
        </is>
      </c>
      <c r="C138">
        <v>0.118</v>
      </c>
      <c r="D138">
        <v>0.17</v>
      </c>
      <c r="E138" t="inlineStr">
        <is>
          <t xml:space="preserve">Construccion inicial de la hoja: 4 proyectos atribuidos, 19 excluidos.</t>
        </is>
      </c>
    </row>
    <row r="139" spans="1:8">
      <c r="A139" t="inlineStr">
        <is>
          <t xml:space="preserve">2026-09-10</t>
        </is>
      </c>
      <c r="B139" t="inlineStr">
        <is>
          <t xml:space="preserve">ACERA jul-26: 2.655 MW / 11.250 MWh (sin cambio)</t>
        </is>
      </c>
      <c r="C139">
        <v>0.118</v>
      </c>
      <c r="D139">
        <v>0.17</v>
      </c>
      <c r="E139" t="inlineStr">
        <is>
          <t xml:space="preserve">Se repitio la busqueda amplia: NINGUNA atribucion nueva confirmada.</t>
        </is>
      </c>
    </row>
    <row r="140" spans="1:8">
      <c r="A140" t="inlineStr">
        <is>
          <t xml:space="preserve">2026-09-10 (2a)</t>
        </is>
      </c>
      <c r="B140" t="inlineStr">
        <is>
          <t xml:space="preserve">ACERA jul-26: 2.655 MW / 11.250 MWh (sin cambio)</t>
        </is>
      </c>
      <c r="C140">
        <v>0.118</v>
      </c>
      <c r="D140">
        <v>0.17</v>
      </c>
      <c r="E140" t="inlineStr">
        <is>
          <t xml:space="preserve">Sin atribucion nueva. Se incorpora la lista de Main future projects.</t>
        </is>
      </c>
    </row>
    <row r="141" spans="1:8">
      <c r="A141" t="inlineStr">
        <is>
          <t xml:space="preserve">2026-09-24</t>
        </is>
      </c>
      <c r="B141" t="inlineStr">
        <is>
          <t xml:space="preserve">ACERA ago-26: 3.116 MW / 13.522 MWh</t>
        </is>
      </c>
      <c r="C141">
        <v>0.1</v>
      </c>
      <c r="D141">
        <v>0.145</v>
      </c>
      <c r="E141" t="inlineStr">
        <is>
          <t xml:space="preserve">NUEVA atribucion Alta: BESS Elena Fase I = BYD (MC Cube-T). No entra al share: esta En Pruebas.</t>
        </is>
      </c>
    </row>
    <row r="142" spans="1:8">
      <c r="A142" t="inlineStr">
        <is>
          <t xml:space="preserve">2026-10-01</t>
        </is>
      </c>
      <c r="B142" t="inlineStr">
        <is>
          <t xml:space="preserve">ACERA ago-26: 3.116 MW / 13.522 MWh (ACERA no publico sep-26 al cierre)</t>
        </is>
      </c>
      <c r="E142" t="inlineStr">
        <is>
          <t xml:space="preserve">Market share fuera de alcance (CLAUDE.md 29-09-2026). No se recalcula cobertura. Solo se actualiza la seccion 7.</t>
        </is>
      </c>
    </row>
    <row r="143" spans="1:8">
      <c r="A143" t="inlineStr">
        <is>
          <t xml:space="preserve">2026-10-08</t>
        </is>
      </c>
      <c r="B143" t="inlineStr">
        <is>
          <t xml:space="preserve">ACERA ago-26: 3.116 MW / 13.522 MWh (ACERA sigue sin publicar sep-26)</t>
        </is>
      </c>
      <c r="E143" t="inlineStr">
        <is>
          <t xml:space="preserve">Market share fuera de alcance. Ninguna de las 5 fuentes publico dato nuevo; solo se actualiza la seccion 7 (3 altas).</t>
        </is>
      </c>
    </row>
    <row r="144" spans="1:8"/>
    <row r="145" spans="1:8">
      <c r="A145" t="inlineStr">
        <is>
          <t xml:space="preserve">Nota corrida 2026-09-24</t>
        </is>
      </c>
    </row>
    <row r="146" spans="1:8">
      <c r="B146" t="inlineStr">
        <is>
          <t xml:space="preserve">Se verifico proyecto por proyecto la Tabla 2 (5 sistemas que entraron en operacion en agosto, 498 MW / 2.452 MWh):</t>
        </is>
      </c>
    </row>
    <row r="147" spans="1:8">
      <c r="B147" t="inlineStr">
        <is>
          <t xml:space="preserve">ninguno de los 5 tiene fabricante publicado. Engie no divulga proveedor en Libelula / Los Loros / Arica II; para</t>
        </is>
      </c>
    </row>
    <row r="148" spans="1:8">
      <c r="B148" t="inlineStr">
        <is>
          <t xml:space="preserve">Gabriela (Grenergy) la prensa cita 'BYD y CATL' como proveedores de fases del complejo Oasis de Atacama sin</t>
        </is>
      </c>
    </row>
    <row r="149" spans="1:8">
      <c r="B149" t="inlineStr">
        <is>
          <t xml:space="preserve">atribuir cual corresponde a esta fase, por lo que NO se le asigna fabricante (regla 2).</t>
        </is>
      </c>
    </row>
    <row r="150" spans="1:8"/>
    <row r="151" spans="1:8">
      <c r="A151" t="inlineStr">
        <is>
          <t xml:space="preserve">Nota corrida 2026-10-01</t>
        </is>
      </c>
    </row>
    <row r="152" spans="1:8">
      <c r="B152" t="inlineStr">
        <is>
          <t xml:space="preserve">El market share por fabricante salio del alcance de la Routine (CLAUDE.md, 29-09-2026). Las secciones 1 a 6 de esta</t>
        </is>
      </c>
    </row>
    <row r="153" spans="1:8">
      <c r="B153" t="inlineStr">
        <is>
          <t xml:space="preserve">hoja quedan congeladas como registro historico de la ultima corrida que si lo calculo (2026-09-24): no se actualizan</t>
        </is>
      </c>
    </row>
    <row r="154" spans="1:8">
      <c r="B154" t="inlineStr">
        <is>
          <t xml:space="preserve">ni se borran. Lo unico que la Routine sigue manteniendo aca es la seccion 7, Main Future Projects, que CLAUDE.md si</t>
        </is>
      </c>
    </row>
    <row r="155" spans="1:8">
      <c r="B155" t="inlineStr">
        <is>
          <t xml:space="preserve">mantiene en alcance. Si vuelve a incorporarse el market share, se reactivan desde esa linea de base.</t>
        </is>
      </c>
    </row>
    <row r="156" spans="1:8"/>
    <row r="157" spans="1:8">
      <c r="A157" t="inlineStr">
        <is>
          <t xml:space="preserve">Nota corrida 2026-10-08</t>
        </is>
      </c>
    </row>
    <row r="158" spans="1:8">
      <c r="B158" t="inlineStr">
        <is>
          <t xml:space="preserve">Corrida sin dato nuevo de fuente: ACERA no publico el boletin de sep-26 (verificado: la URL predecible del CDN</t>
        </is>
      </c>
    </row>
    <row r="159" spans="1:8">
      <c r="B159" t="inlineStr">
        <is>
          <t xml:space="preserve">responde 403 AccessDenied mientras la de ago-26 responde 200, y el centro de informacion sigue mostrando ago-26),</t>
        </is>
      </c>
    </row>
    <row r="160" spans="1:8">
      <c r="B160" t="inlineStr">
        <is>
          <t xml:space="preserve">la CNE no publico RMensual_v202610 (404), y no hay PDFs nuevos en /COORDINADOR/, /MIN ENERGIA/ ni /GENERADORAS/.</t>
        </is>
      </c>
    </row>
    <row r="161" spans="1:8">
      <c r="B161" t="inlineStr">
        <is>
          <t xml:space="preserve">Por eso las filas 2-15 de la hoja BESS y la tabla de Energy Matrix quedan sin cambio: no hay nada que cargar.</t>
        </is>
      </c>
    </row>
    <row r="162" spans="1:8">
      <c r="B162" t="inlineStr">
        <is>
          <t xml:space="preserve">El trabajo de esta corrida es la seccion 7 (3 altas) mas la copia fechada en /historial/.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